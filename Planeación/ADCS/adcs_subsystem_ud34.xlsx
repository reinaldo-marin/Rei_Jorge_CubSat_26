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1F497D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F5496"/>
      </top>
      <bottom style="double">
        <color rgb="002F549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6" fillId="0" borderId="2" pivotButton="0" quotePrefix="0" xfId="0"/>
    <xf numFmtId="0" fontId="5" fillId="3" borderId="2" pivotButton="0" quotePrefix="0" xfId="0"/>
    <xf numFmtId="0" fontId="6" fillId="3" borderId="2" pivotButton="0" quotePrefix="0" xfId="0"/>
    <xf numFmtId="9" fontId="0" fillId="0" borderId="2" pivotButton="0" quotePrefix="0" xfId="0"/>
    <xf numFmtId="0" fontId="0" fillId="0" borderId="2" pivotButton="0" quotePrefix="0" xfId="0"/>
    <xf numFmtId="0" fontId="0" fillId="4" borderId="2" pivotButton="0" quotePrefix="0" xfId="0"/>
    <xf numFmtId="0" fontId="5" fillId="0" borderId="3" pivotButton="0" quotePrefix="0" xfId="0"/>
    <xf numFmtId="0" fontId="0" fillId="0" borderId="3" pivotButton="0" quotePrefix="0" xfId="0"/>
    <xf numFmtId="0" fontId="5" fillId="4" borderId="3" pivotButton="0" quotePrefix="0" xfId="0"/>
    <xf numFmtId="10" fontId="5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240" customWidth="1" min="2" max="2"/>
    <col width="48" customWidth="1" min="3" max="3"/>
    <col width="37" customWidth="1" min="4" max="4"/>
  </cols>
  <sheetData>
    <row r="1">
      <c r="A1" s="1" t="inlineStr">
        <is>
          <t>PROYECTO CUBESAT UD34 (1U) - SUBSISTEMA DE DETERMINACIÓN Y CONTROL DE ACTITUD (ADCS)</t>
        </is>
      </c>
    </row>
    <row r="2">
      <c r="A2" s="2" t="inlineStr">
        <is>
          <t>Resumen Ejecutivo, Hitos Misión, Objetivos y Parámetros Técnicos de Actitud</t>
        </is>
      </c>
    </row>
    <row r="3"/>
    <row r="4">
      <c r="A4" s="3" t="inlineStr">
        <is>
          <t>1. OBJETIVOS PRINCIPALES DEL ADCS</t>
        </is>
      </c>
    </row>
    <row r="5">
      <c r="A5" s="4" t="inlineStr">
        <is>
          <t>Tipo de Objetivo</t>
        </is>
      </c>
      <c r="B5" s="4" t="inlineStr">
        <is>
          <t>Descripción Detallada del Alcance</t>
        </is>
      </c>
    </row>
    <row r="6">
      <c r="A6" s="5" t="inlineStr">
        <is>
          <t>Objetivo Primario</t>
        </is>
      </c>
      <c r="B6" s="6" t="inlineStr">
        <is>
          <t>Garantizar el apuntado fino a Nadir del eje óptico (-Z) hacia los cultivos de café durante la ventana de paso sobre Colombia, manteniendo una deriva angular W_deriva &lt;= 0.05°/s para mitigar el efecto Rolling Shutter del sensor OV2740.</t>
        </is>
      </c>
    </row>
    <row r="7">
      <c r="A7" s="5" t="inlineStr">
        <is>
          <t>Objetivo Secundario</t>
        </is>
      </c>
      <c r="B7" s="6" t="inlineStr">
        <is>
          <t>Proporcionar desamortiguamiento angular (Detumbling B-Dot) tras la eyección del P-POD reduciendo la velocidad de rotación inicial de &gt; 30°/s a &lt; 1°/s en menos de 4 horas orbitales.</t>
        </is>
      </c>
    </row>
    <row r="8">
      <c r="A8" s="5" t="inlineStr">
        <is>
          <t>Objetivo Operativo</t>
        </is>
      </c>
      <c r="B8" s="6" t="inlineStr">
        <is>
          <t>Determinar la actitud del satélite mediante un Filtro de Kalman Extendido (EKF) acoplando magnetómetro 3D, IMU de 9 ejes y 5 sensores solares gruesos (CSS), gestionando la desaturación de ruedas de reacción mediante magnetorquers (MTQs).</t>
        </is>
      </c>
    </row>
    <row r="9"/>
    <row r="10">
      <c r="A10" s="3" t="inlineStr">
        <is>
          <t>2. TABLA DE PARÁMETROS TÉCNICOS CLAVE Y PRESUPUESTO ESPACIAL</t>
        </is>
      </c>
    </row>
    <row r="11">
      <c r="A11" s="4" t="inlineStr">
        <is>
          <t>Parámetro / Métrica</t>
        </is>
      </c>
      <c r="B11" s="4" t="inlineStr">
        <is>
          <t>Tecnología / Configuración</t>
        </is>
      </c>
      <c r="C11" s="4" t="inlineStr">
        <is>
          <t>Valor Objetivo / Especificación</t>
        </is>
      </c>
      <c r="D11" s="4" t="inlineStr">
        <is>
          <t>Justificación / Impacto en Misión</t>
        </is>
      </c>
    </row>
    <row r="12">
      <c r="A12" s="5" t="inlineStr">
        <is>
          <t>Modo Detumbling (B-Dot)</t>
        </is>
      </c>
      <c r="B12" s="6" t="inlineStr">
        <is>
          <t>Actuadores: 3x MTQs (0.2 A·m²)</t>
        </is>
      </c>
      <c r="C12" s="6" t="inlineStr">
        <is>
          <t>Tiempo reducción rotación &lt; 4 horas</t>
        </is>
      </c>
      <c r="D12" s="6" t="inlineStr">
        <is>
          <t>Cumple norma CDS Rev 14.1 §2.3</t>
        </is>
      </c>
    </row>
    <row r="13">
      <c r="A13" s="5" t="inlineStr">
        <is>
          <t>Modo Apuntado Nadir</t>
        </is>
      </c>
      <c r="B13" s="6" t="inlineStr">
        <is>
          <t>3x Ruedas de Reacción (CubeWheel)</t>
        </is>
      </c>
      <c r="C13" s="6" t="inlineStr">
        <is>
          <t>Precisión apuntado &lt; 1.5° (Deriva &lt;= 0.05°/s)</t>
        </is>
      </c>
      <c r="D13" s="6" t="inlineStr">
        <is>
          <t>Garantiza calidad imagen OV2740</t>
        </is>
      </c>
    </row>
    <row r="14">
      <c r="A14" s="5" t="inlineStr">
        <is>
          <t>Precisión de Determinación</t>
        </is>
      </c>
      <c r="B14" s="6" t="inlineStr">
        <is>
          <t>EKF (IMU + Mag + 5x CSS)</t>
        </is>
      </c>
      <c r="C14" s="6" t="inlineStr">
        <is>
          <t>Conocimiento de Actitud &lt; 0.5°</t>
        </is>
      </c>
      <c r="D14" s="6" t="inlineStr">
        <is>
          <t>Suficiente para georreferenciación</t>
        </is>
      </c>
    </row>
    <row r="15">
      <c r="A15" s="5" t="inlineStr">
        <is>
          <t>Consumo Modo Nominal (Sol)</t>
        </is>
      </c>
      <c r="B15" s="6" t="inlineStr">
        <is>
          <t>Sensores + MTQs B-Dot</t>
        </is>
      </c>
      <c r="C15" s="6" t="inlineStr">
        <is>
          <t>0.20 W continuo</t>
        </is>
      </c>
      <c r="D15" s="6" t="inlineStr">
        <is>
          <t>Alimenta plataforma en crucero</t>
        </is>
      </c>
    </row>
    <row r="16">
      <c r="A16" s="5" t="inlineStr">
        <is>
          <t>Consumo Modo Apuntado Nadir</t>
        </is>
      </c>
      <c r="B16" s="6" t="inlineStr">
        <is>
          <t>Ruedas de Reacción + EKF</t>
        </is>
      </c>
      <c r="C16" s="6" t="inlineStr">
        <is>
          <t>1.20 W pico (durante 4.5 min)</t>
        </is>
      </c>
      <c r="D16" s="6" t="inlineStr">
        <is>
          <t>Alimentado por riel +3.3V y V_BAT</t>
        </is>
      </c>
    </row>
    <row r="17">
      <c r="A17" s="5" t="inlineStr">
        <is>
          <t>Masa Total ADCS</t>
        </is>
      </c>
      <c r="B17" s="6" t="inlineStr">
        <is>
          <t>Ruedas + MTQs + Sensores + Drivers</t>
        </is>
      </c>
      <c r="C17" s="6" t="inlineStr">
        <is>
          <t>148.0 g</t>
        </is>
      </c>
      <c r="D17" s="6" t="inlineStr">
        <is>
          <t>Representa 18.3% del peso total 1U</t>
        </is>
      </c>
    </row>
    <row r="18">
      <c r="A18" s="5" t="inlineStr">
        <is>
          <t>Módulo Ruedas de Reacción</t>
        </is>
      </c>
      <c r="B18" s="6" t="inlineStr">
        <is>
          <t>Pack 3-Ejes 40x40x12 mm</t>
        </is>
      </c>
      <c r="C18" s="6" t="inlineStr">
        <is>
          <t>Ubicación: Base marco interno +Z Zenith</t>
        </is>
      </c>
      <c r="D18" s="6" t="inlineStr">
        <is>
          <t>Momento cinético 1.5 mN·m·s</t>
        </is>
      </c>
    </row>
    <row r="19">
      <c r="A19" s="5" t="inlineStr">
        <is>
          <t>Magnetorquers X, Y, Z</t>
        </is>
      </c>
      <c r="B19" s="6" t="inlineStr">
        <is>
          <t>2x Barras con núcleo + 1x Bobina PCB</t>
        </is>
      </c>
      <c r="C19" s="6" t="inlineStr">
        <is>
          <t>Ubicación: Rieles de chasis y PCB 2</t>
        </is>
      </c>
      <c r="D19" s="6" t="inlineStr">
        <is>
          <t>Par magnético 0.20 A·m²</t>
        </is>
      </c>
    </row>
    <row r="20">
      <c r="A20" s="5" t="inlineStr">
        <is>
          <t>Sensor Magnetómetro 3D</t>
        </is>
      </c>
      <c r="B20" s="6" t="inlineStr">
        <is>
          <t>RM3100 PNI (I2C/SPI)</t>
        </is>
      </c>
      <c r="C20" s="6" t="inlineStr">
        <is>
          <t>Ubicación: Esquina externa PCB 2</t>
        </is>
      </c>
      <c r="D20" s="6" t="inlineStr">
        <is>
          <t>Aislamiento de fuentes de ruido RF</t>
        </is>
      </c>
    </row>
    <row r="21">
      <c r="A21" s="5" t="inlineStr">
        <is>
          <t>Sensores Solares (CSS)</t>
        </is>
      </c>
      <c r="B21" s="6" t="inlineStr">
        <is>
          <t>5x Fotodiodos OSRAM SFH 2430</t>
        </is>
      </c>
      <c r="C21" s="6" t="inlineStr">
        <is>
          <t>Ubicación: 5 Paneles Solares externos</t>
        </is>
      </c>
      <c r="D21" s="6" t="inlineStr">
        <is>
          <t>0.1° resolución de ángulo solar</t>
        </is>
      </c>
    </row>
    <row r="22">
      <c r="A22" s="5" t="inlineStr">
        <is>
          <t>Sensor IMU 9-Ejes</t>
        </is>
      </c>
      <c r="B22" s="6" t="inlineStr">
        <is>
          <t>ICM-20948 TDK (I2C/SPI)</t>
        </is>
      </c>
      <c r="C22" s="6" t="inlineStr">
        <is>
          <t>Ubicación: Cerca del CoM en PCB 2</t>
        </is>
      </c>
      <c r="D22" s="6" t="inlineStr">
        <is>
          <t>Giroscopio 0.005 dps/sqrt(Hz)</t>
        </is>
      </c>
    </row>
    <row r="23">
      <c r="A23" s="5" t="inlineStr">
        <is>
          <t>Drivers H-Bridge MTQs</t>
        </is>
      </c>
      <c r="B23" s="6" t="inlineStr">
        <is>
          <t>DRV8837C TI (PWM)</t>
        </is>
      </c>
      <c r="C23" s="6" t="inlineStr">
        <is>
          <t>Ubicación: PCB 2 de control</t>
        </is>
      </c>
      <c r="D23" s="6" t="inlineStr">
        <is>
          <t>Control fino de corriente continuo</t>
        </is>
      </c>
    </row>
    <row r="24">
      <c r="A24" s="5" t="inlineStr">
        <is>
          <t>Volumen Vertical en Eje Z</t>
        </is>
      </c>
      <c r="B24" s="6" t="inlineStr">
        <is>
          <t>Pack Ruedas + Componentes PCB</t>
        </is>
      </c>
      <c r="C24" s="6" t="inlineStr">
        <is>
          <t>12.0 mm (12.0% del eje Z de 1U)</t>
        </is>
      </c>
      <c r="D24" s="6" t="inlineStr">
        <is>
          <t>Acomodado en la base Zenith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5" customWidth="1" min="3" max="3"/>
    <col width="21" customWidth="1" min="4" max="4"/>
    <col width="31" customWidth="1" min="5" max="5"/>
    <col width="21" customWidth="1" min="6" max="6"/>
    <col width="63" customWidth="1" min="7" max="7"/>
    <col width="49" customWidth="1" min="8" max="8"/>
  </cols>
  <sheetData>
    <row r="1">
      <c r="A1" s="1" t="inlineStr">
        <is>
          <t>LISTADO A: COMPONENTES PRINCIPALES DEL SUBSISTEMA ADCS</t>
        </is>
      </c>
    </row>
    <row r="2">
      <c r="A2" s="4" t="inlineStr">
        <is>
          <t>Denominación del Componente</t>
        </is>
      </c>
      <c r="B2" s="4" t="inlineStr">
        <is>
          <t>Fabricante</t>
        </is>
      </c>
      <c r="C2" s="4" t="inlineStr">
        <is>
          <t>Referencia COTS Exacta</t>
        </is>
      </c>
      <c r="D2" s="4" t="inlineStr">
        <is>
          <t>Interfaz Requerida</t>
        </is>
      </c>
      <c r="E2" s="4" t="inlineStr">
        <is>
          <t>Tipo Encapsulado / Dimensión</t>
        </is>
      </c>
      <c r="F2" s="4" t="inlineStr">
        <is>
          <t>Requisito Cubierto</t>
        </is>
      </c>
      <c r="G2" s="4" t="inlineStr">
        <is>
          <t>Función Principal en el ADCS</t>
        </is>
      </c>
      <c r="H2" s="4" t="inlineStr">
        <is>
          <t>Patrimonio de Vuelo / Referencia</t>
        </is>
      </c>
    </row>
    <row r="3">
      <c r="A3" s="5" t="inlineStr">
        <is>
          <t>Ruedas de Reacción (Pack 3-Ejes)</t>
        </is>
      </c>
      <c r="B3" s="6" t="inlineStr">
        <is>
          <t>CubeSpace</t>
        </is>
      </c>
      <c r="C3" s="6" t="inlineStr">
        <is>
          <t>CubeWheel Small 3-Axis</t>
        </is>
      </c>
      <c r="D3" s="6" t="inlineStr">
        <is>
          <t>I2C / CAN</t>
        </is>
      </c>
      <c r="E3" s="6" t="inlineStr">
        <is>
          <t>Module 40x40x12 mm</t>
        </is>
      </c>
      <c r="F3" s="6" t="inlineStr">
        <is>
          <t>RF-ADCS-02</t>
        </is>
      </c>
      <c r="G3" s="6" t="inlineStr">
        <is>
          <t>Control fino de actitud en 3 ejes para apuntado a Nadir</t>
        </is>
      </c>
      <c r="H3" s="6" t="inlineStr">
        <is>
          <t>Ampliamente usado en CubeSats 1U/3U (Heritage)</t>
        </is>
      </c>
    </row>
    <row r="4">
      <c r="A4" s="7" t="inlineStr">
        <is>
          <t>Magnetómetro 3D de Alta Precisión</t>
        </is>
      </c>
      <c r="B4" s="8" t="inlineStr">
        <is>
          <t>PNI Sensor</t>
        </is>
      </c>
      <c r="C4" s="8" t="inlineStr">
        <is>
          <t>RM3100</t>
        </is>
      </c>
      <c r="D4" s="8" t="inlineStr">
        <is>
          <t>SPI / I2C</t>
        </is>
      </c>
      <c r="E4" s="8" t="inlineStr">
        <is>
          <t>WLBGA-28 / Module</t>
        </is>
      </c>
      <c r="F4" s="8" t="inlineStr">
        <is>
          <t>RF-ADCS-01</t>
        </is>
      </c>
      <c r="G4" s="8" t="inlineStr">
        <is>
          <t>Medición de campo magnético terrestre B-field sin histéresis</t>
        </is>
      </c>
      <c r="H4" s="8" t="inlineStr">
        <is>
          <t>Vuelo en cientos de CubeSats NASA/ESA</t>
        </is>
      </c>
    </row>
    <row r="5">
      <c r="A5" s="5" t="inlineStr">
        <is>
          <t>IMU Giroscopio/Acelerómetro 9D</t>
        </is>
      </c>
      <c r="B5" s="6" t="inlineStr">
        <is>
          <t>TDK InvenSense</t>
        </is>
      </c>
      <c r="C5" s="6" t="inlineStr">
        <is>
          <t>ICM-20948</t>
        </is>
      </c>
      <c r="D5" s="6" t="inlineStr">
        <is>
          <t>SPI / I2C</t>
        </is>
      </c>
      <c r="E5" s="6" t="inlineStr">
        <is>
          <t>QFN-24 (3x3 mm)</t>
        </is>
      </c>
      <c r="F5" s="6" t="inlineStr">
        <is>
          <t>RF-ADCS-01</t>
        </is>
      </c>
      <c r="G5" s="6" t="inlineStr">
        <is>
          <t>Medición de velocidad angular w y aceleración lineal</t>
        </is>
      </c>
      <c r="H5" s="6" t="inlineStr">
        <is>
          <t>Estándar COTS en aviación y espacial</t>
        </is>
      </c>
    </row>
    <row r="6">
      <c r="A6" s="7" t="inlineStr">
        <is>
          <t>Sensores Solares Gruesos (CSS)</t>
        </is>
      </c>
      <c r="B6" s="8" t="inlineStr">
        <is>
          <t>OSRAM Opto</t>
        </is>
      </c>
      <c r="C6" s="8" t="inlineStr">
        <is>
          <t>SFH 2430 (5x)</t>
        </is>
      </c>
      <c r="D6" s="8" t="inlineStr">
        <is>
          <t>Analógica (ADC)</t>
        </is>
      </c>
      <c r="E6" s="8" t="inlineStr">
        <is>
          <t>SMD DIL (4.5x1.5 mm)</t>
        </is>
      </c>
      <c r="F6" s="8" t="inlineStr">
        <is>
          <t>RF-ADCS-01</t>
        </is>
      </c>
      <c r="G6" s="8" t="inlineStr">
        <is>
          <t>Detección de vector solar en 5 caras externas</t>
        </is>
      </c>
      <c r="H6" s="8" t="inlineStr">
        <is>
          <t>Utilizado en CubeSats universitarios</t>
        </is>
      </c>
    </row>
    <row r="7">
      <c r="A7" s="5" t="inlineStr">
        <is>
          <t>Magnetorquers X, Y (Barras)</t>
        </is>
      </c>
      <c r="B7" s="6" t="inlineStr">
        <is>
          <t>NanoAvionics / Custom</t>
        </is>
      </c>
      <c r="C7" s="6" t="inlineStr">
        <is>
          <t>MTQ-Rod-02 (2x)</t>
        </is>
      </c>
      <c r="D7" s="6" t="inlineStr">
        <is>
          <t>PWM / Corriente</t>
        </is>
      </c>
      <c r="E7" s="6" t="inlineStr">
        <is>
          <t>Cilíndrico 8x60 mm</t>
        </is>
      </c>
      <c r="F7" s="6" t="inlineStr">
        <is>
          <t>RF-ADCS-03</t>
        </is>
      </c>
      <c r="G7" s="6" t="inlineStr">
        <is>
          <t>Desaturación de ruedas y Detumbling B-Dot en X e Y</t>
        </is>
      </c>
      <c r="H7" s="6" t="inlineStr">
        <is>
          <t>Heritage comercial SmallSat</t>
        </is>
      </c>
    </row>
    <row r="8">
      <c r="A8" s="7" t="inlineStr">
        <is>
          <t>Magnetorquer Z (Bobina PCB)</t>
        </is>
      </c>
      <c r="B8" s="8" t="inlineStr">
        <is>
          <t>UD34 Integrated</t>
        </is>
      </c>
      <c r="C8" s="8" t="inlineStr">
        <is>
          <t>MTQ-Coil-Z</t>
        </is>
      </c>
      <c r="D8" s="8" t="inlineStr">
        <is>
          <t>PWM / Corriente</t>
        </is>
      </c>
      <c r="E8" s="8" t="inlineStr">
        <is>
          <t>Traza PCB interna 80x80</t>
        </is>
      </c>
      <c r="F8" s="8" t="inlineStr">
        <is>
          <t>RF-ADCS-03</t>
        </is>
      </c>
      <c r="G8" s="8" t="inlineStr">
        <is>
          <t>Par magnético en eje Z integrado en la PCB 2</t>
        </is>
      </c>
      <c r="H8" s="8" t="inlineStr">
        <is>
          <t>Diseño nativo estandarizado</t>
        </is>
      </c>
    </row>
    <row r="9">
      <c r="A9" s="5" t="inlineStr">
        <is>
          <t>Driver H-Bridge Magnetorquers</t>
        </is>
      </c>
      <c r="B9" s="6" t="inlineStr">
        <is>
          <t>Texas Instruments</t>
        </is>
      </c>
      <c r="C9" s="6" t="inlineStr">
        <is>
          <t>DRV8837C (3x)</t>
        </is>
      </c>
      <c r="D9" s="6" t="inlineStr">
        <is>
          <t>PWM / GPIO</t>
        </is>
      </c>
      <c r="E9" s="6" t="inlineStr">
        <is>
          <t>WSON-8 (2x2 mm)</t>
        </is>
      </c>
      <c r="F9" s="6" t="inlineStr">
        <is>
          <t>RF-ADCS-03</t>
        </is>
      </c>
      <c r="G9" s="6" t="inlineStr">
        <is>
          <t>Control bidireccional de corriente en bobinas MTQ</t>
        </is>
      </c>
      <c r="H9" s="6" t="inlineStr">
        <is>
          <t>COTS de alta eficiencia (1A peak)</t>
        </is>
      </c>
    </row>
    <row r="10">
      <c r="A10" s="7" t="inlineStr">
        <is>
          <t>Microcontrolador ADCS (en PCB 2)</t>
        </is>
      </c>
      <c r="B10" s="8" t="inlineStr">
        <is>
          <t>STMicroelectronics</t>
        </is>
      </c>
      <c r="C10" s="8" t="inlineStr">
        <is>
          <t>STM32H743VIT6</t>
        </is>
      </c>
      <c r="D10" s="8" t="inlineStr">
        <is>
          <t>SPI / I2C / PWM</t>
        </is>
      </c>
      <c r="E10" s="8" t="inlineStr">
        <is>
          <t>LQFP-100</t>
        </is>
      </c>
      <c r="F10" s="8" t="inlineStr">
        <is>
          <t>RF-ADCS-04</t>
        </is>
      </c>
      <c r="G10" s="8" t="inlineStr">
        <is>
          <t>Ejecución del algoritmo EKF y la ley de control PID/B-Dot</t>
        </is>
      </c>
      <c r="H10" s="8" t="inlineStr">
        <is>
          <t>Compartido con la OBC de a bordo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3" customWidth="1" min="2" max="2"/>
    <col width="21" customWidth="1" min="3" max="3"/>
    <col width="18" customWidth="1" min="4" max="4"/>
    <col width="26" customWidth="1" min="5" max="5"/>
    <col width="21" customWidth="1" min="6" max="6"/>
    <col width="58" customWidth="1" min="7" max="7"/>
    <col width="46" customWidth="1" min="8" max="8"/>
  </cols>
  <sheetData>
    <row r="1">
      <c r="A1" s="1" t="inlineStr">
        <is>
          <t>LISTADO B: COMPONENTES PASIVOS, PROTECCIÓN E INTERCONEXIÓN ADCS</t>
        </is>
      </c>
    </row>
    <row r="2">
      <c r="A2" s="4" t="inlineStr">
        <is>
          <t>Denominación del Componente</t>
        </is>
      </c>
      <c r="B2" s="4" t="inlineStr">
        <is>
          <t>Fabricante</t>
        </is>
      </c>
      <c r="C2" s="4" t="inlineStr">
        <is>
          <t>Referencia Exacta</t>
        </is>
      </c>
      <c r="D2" s="4" t="inlineStr">
        <is>
          <t>Interfaz / Tipo</t>
        </is>
      </c>
      <c r="E2" s="4" t="inlineStr">
        <is>
          <t>Encapsulado / Dimensión</t>
        </is>
      </c>
      <c r="F2" s="4" t="inlineStr">
        <is>
          <t>Requisito Cubierto</t>
        </is>
      </c>
      <c r="G2" s="4" t="inlineStr">
        <is>
          <t>Función Principal en el Ensamblaje</t>
        </is>
      </c>
      <c r="H2" s="4" t="inlineStr">
        <is>
          <t>Patrimonio / Observación</t>
        </is>
      </c>
    </row>
    <row r="3">
      <c r="A3" s="5" t="inlineStr">
        <is>
          <t>Conector de Bus de Datos PC/104</t>
        </is>
      </c>
      <c r="B3" s="6" t="inlineStr">
        <is>
          <t>Samtec</t>
        </is>
      </c>
      <c r="C3" s="6" t="inlineStr">
        <is>
          <t>ESQ-126-12-G-D</t>
        </is>
      </c>
      <c r="D3" s="6" t="inlineStr">
        <is>
          <t>Pines pasantes</t>
        </is>
      </c>
      <c r="E3" s="6" t="inlineStr">
        <is>
          <t>52-pin Through-Hole</t>
        </is>
      </c>
      <c r="F3" s="6" t="inlineStr">
        <is>
          <t>RN-ADCS-01</t>
        </is>
      </c>
      <c r="G3" s="6" t="inlineStr">
        <is>
          <t>Interconexión de potencia y bus CAN con OBC y EPS</t>
        </is>
      </c>
      <c r="H3" s="6" t="inlineStr">
        <is>
          <t>Estándar CubeSat PC/104</t>
        </is>
      </c>
    </row>
    <row r="4">
      <c r="A4" s="5" t="inlineStr">
        <is>
          <t>Soporte Mecánico Ruedas Reacción</t>
        </is>
      </c>
      <c r="B4" s="6" t="inlineStr">
        <is>
          <t>Custom Aluminum 6061</t>
        </is>
      </c>
      <c r="C4" s="6" t="inlineStr">
        <is>
          <t>BRK-RW-1U</t>
        </is>
      </c>
      <c r="D4" s="6" t="inlineStr">
        <is>
          <t>Mecánica M2</t>
        </is>
      </c>
      <c r="E4" s="6" t="inlineStr">
        <is>
          <t>42x42x5 mm</t>
        </is>
      </c>
      <c r="F4" s="6" t="inlineStr">
        <is>
          <t>RA-ADCS-02</t>
        </is>
      </c>
      <c r="G4" s="6" t="inlineStr">
        <is>
          <t>Anclaje del pack de ruedas al marco del chasis +Z</t>
        </is>
      </c>
      <c r="H4" s="6" t="inlineStr">
        <is>
          <t>Soporta cargas de vibración de lanzamiento</t>
        </is>
      </c>
    </row>
    <row r="5">
      <c r="A5" s="5" t="inlineStr">
        <is>
          <t>Protección ESD I2C/SPI</t>
        </is>
      </c>
      <c r="B5" s="6" t="inlineStr">
        <is>
          <t>Texas Instruments</t>
        </is>
      </c>
      <c r="C5" s="6" t="inlineStr">
        <is>
          <t>TPD4E001DRYR</t>
        </is>
      </c>
      <c r="D5" s="6" t="inlineStr">
        <is>
          <t>Paralelo en bus</t>
        </is>
      </c>
      <c r="E5" s="6" t="inlineStr">
        <is>
          <t>SON-6 (1.4x1.0 mm)</t>
        </is>
      </c>
      <c r="F5" s="6" t="inlineStr">
        <is>
          <t>RNF-ADCS-03</t>
        </is>
      </c>
      <c r="G5" s="6" t="inlineStr">
        <is>
          <t>Protección contra descargas electrostáticas en sensores</t>
        </is>
      </c>
      <c r="H5" s="6" t="inlineStr">
        <is>
          <t>Cualificación COTS espacial</t>
        </is>
      </c>
    </row>
    <row r="6">
      <c r="A6" s="5" t="inlineStr">
        <is>
          <t>Resistencias Sensado Corriente</t>
        </is>
      </c>
      <c r="B6" s="6" t="inlineStr">
        <is>
          <t>Vishay</t>
        </is>
      </c>
      <c r="C6" s="6" t="inlineStr">
        <is>
          <t>WSLP0805R0100FEA</t>
        </is>
      </c>
      <c r="D6" s="6" t="inlineStr">
        <is>
          <t>Analógica</t>
        </is>
      </c>
      <c r="E6" s="6" t="inlineStr">
        <is>
          <t>SMD 0805 (10 mΩ)</t>
        </is>
      </c>
      <c r="F6" s="6" t="inlineStr">
        <is>
          <t>RF-ADCS-03</t>
        </is>
      </c>
      <c r="G6" s="6" t="inlineStr">
        <is>
          <t>Medición de corriente consumida por bobinas MTQ</t>
        </is>
      </c>
      <c r="H6" s="6" t="inlineStr">
        <is>
          <t>Alta precisión 1% 0.5W</t>
        </is>
      </c>
    </row>
    <row r="7">
      <c r="A7" s="5" t="inlineStr">
        <is>
          <t>Capacitores de desacoplamiento</t>
        </is>
      </c>
      <c r="B7" s="6" t="inlineStr">
        <is>
          <t>Murata</t>
        </is>
      </c>
      <c r="C7" s="6" t="inlineStr">
        <is>
          <t>GRM188R61A106KE69D</t>
        </is>
      </c>
      <c r="D7" s="6" t="inlineStr">
        <is>
          <t>Alimentación</t>
        </is>
      </c>
      <c r="E7" s="6" t="inlineStr">
        <is>
          <t>SMD 0603 (10 uF X5R)</t>
        </is>
      </c>
      <c r="F7" s="6" t="inlineStr">
        <is>
          <t>RNF-ADCS-03</t>
        </is>
      </c>
      <c r="G7" s="6" t="inlineStr">
        <is>
          <t>Estabilización de riel de potencia de drivers DRV8837</t>
        </is>
      </c>
      <c r="H7" s="6" t="inlineStr">
        <is>
          <t>Filtro de ruido de conmutación PWM</t>
        </is>
      </c>
    </row>
    <row r="8">
      <c r="A8" s="5" t="inlineStr">
        <is>
          <t>Diodos de Supresión TVS</t>
        </is>
      </c>
      <c r="B8" s="6" t="inlineStr">
        <is>
          <t>Littelfuse</t>
        </is>
      </c>
      <c r="C8" s="6" t="inlineStr">
        <is>
          <t>SMAJ5.0A</t>
        </is>
      </c>
      <c r="D8" s="6" t="inlineStr">
        <is>
          <t>Alimentación</t>
        </is>
      </c>
      <c r="E8" s="6" t="inlineStr">
        <is>
          <t>DO-214AC (SMA)</t>
        </is>
      </c>
      <c r="F8" s="6" t="inlineStr">
        <is>
          <t>RA-ADCS-01</t>
        </is>
      </c>
      <c r="G8" s="6" t="inlineStr">
        <is>
          <t>Protección contra picos de voltaje inducidos por MTQs</t>
        </is>
      </c>
      <c r="H8" s="6" t="inlineStr">
        <is>
          <t>Absorción de transitorios electromagnéticos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15" customWidth="1" min="3" max="3"/>
    <col width="38" customWidth="1" min="4" max="4"/>
    <col width="35" customWidth="1" min="5" max="5"/>
  </cols>
  <sheetData>
    <row r="1">
      <c r="A1" s="1" t="inlineStr">
        <is>
          <t>MATRIZ DE REQUISITOS DEL SUBSISTEMA ADCS</t>
        </is>
      </c>
    </row>
    <row r="2">
      <c r="A2" s="4" t="inlineStr">
        <is>
          <t>Código Requisito</t>
        </is>
      </c>
      <c r="B2" s="4" t="inlineStr">
        <is>
          <t>Nombre del Requisito</t>
        </is>
      </c>
      <c r="C2" s="4" t="inlineStr">
        <is>
          <t>Descripción Detallada del Requisito</t>
        </is>
      </c>
      <c r="D2" s="4" t="inlineStr">
        <is>
          <t>Criterio de Aceptación Cuantitativo</t>
        </is>
      </c>
      <c r="E2" s="4" t="inlineStr">
        <is>
          <t>Método de Verificación</t>
        </is>
      </c>
    </row>
    <row r="3">
      <c r="A3" s="5" t="inlineStr">
        <is>
          <t>RF-ADCS-01</t>
        </is>
      </c>
      <c r="B3" s="6" t="inlineStr">
        <is>
          <t>Determinación de Actitud</t>
        </is>
      </c>
      <c r="C3" s="6" t="inlineStr">
        <is>
          <t>El ADCS deberá determinar la actitud del satélite con un error menor a 0.5° mediante el algoritmo EKF.</t>
        </is>
      </c>
      <c r="D3" s="6" t="inlineStr">
        <is>
          <t>Error de actitud &lt; 0.5°</t>
        </is>
      </c>
      <c r="E3" s="6" t="inlineStr">
        <is>
          <t>Análisis y Simulación EKF</t>
        </is>
      </c>
    </row>
    <row r="4">
      <c r="A4" s="5" t="inlineStr">
        <is>
          <t>RF-ADCS-02</t>
        </is>
      </c>
      <c r="B4" s="6" t="inlineStr">
        <is>
          <t>Apuntado Nadir Fino</t>
        </is>
      </c>
      <c r="C4" s="6" t="inlineStr">
        <is>
          <t>El ADCS deberá orientar el eje -Z (cámara) hacia Nadir con un error de apuntado &lt; 1.5° y deriva &lt;= 0.05°/s.</t>
        </is>
      </c>
      <c r="D4" s="6" t="inlineStr">
        <is>
          <t>Deriva angular &lt;= 0.05°/s</t>
        </is>
      </c>
      <c r="E4" s="6" t="inlineStr">
        <is>
          <t>Prueba en Mesa de Aire de 3 Ejes</t>
        </is>
      </c>
    </row>
    <row r="5">
      <c r="A5" s="5" t="inlineStr">
        <is>
          <t>RF-ADCS-03</t>
        </is>
      </c>
      <c r="B5" s="6" t="inlineStr">
        <is>
          <t>Desamortiguamiento B-Dot</t>
        </is>
      </c>
      <c r="C5" s="6" t="inlineStr">
        <is>
          <t>El ADCS deberá reducir la tasa de rotación post-eyección de &gt;30°/s a &lt;1°/s en menos de 4 horas usando MTQs.</t>
        </is>
      </c>
      <c r="D5" s="6" t="inlineStr">
        <is>
          <t>Tiempo detumbling &lt; 4 horas</t>
        </is>
      </c>
      <c r="E5" s="6" t="inlineStr">
        <is>
          <t>Simulación HIL Monte Carlo</t>
        </is>
      </c>
    </row>
    <row r="6">
      <c r="A6" s="5" t="inlineStr">
        <is>
          <t>RF-ADCS-04</t>
        </is>
      </c>
      <c r="B6" s="6" t="inlineStr">
        <is>
          <t>Desaturación de Ruedas</t>
        </is>
      </c>
      <c r="C6" s="6" t="inlineStr">
        <is>
          <t>El ADCS deberá desaturar el momento cinético de las ruedas de reacción usando los magnetorquers en zonas de Sol.</t>
        </is>
      </c>
      <c r="D6" s="6" t="inlineStr">
        <is>
          <t>Momento cinético &lt; 1.0 mN·m·s</t>
        </is>
      </c>
      <c r="E6" s="6" t="inlineStr">
        <is>
          <t>Verificación por Software FSW</t>
        </is>
      </c>
    </row>
    <row r="7">
      <c r="A7" s="5" t="inlineStr">
        <is>
          <t>RNF-ADCS-01</t>
        </is>
      </c>
      <c r="B7" s="6" t="inlineStr">
        <is>
          <t>Masa Restringida</t>
        </is>
      </c>
      <c r="C7" s="6" t="inlineStr">
        <is>
          <t>La masa total del subsistema ADCS (actuadores, sensores y drivers) no superará los 160.0 gramos.</t>
        </is>
      </c>
      <c r="D7" s="6" t="inlineStr">
        <is>
          <t>Masa ADCS &lt;= 160.0 g</t>
        </is>
      </c>
      <c r="E7" s="6" t="inlineStr">
        <is>
          <t>Inspección y Pesaje Directo</t>
        </is>
      </c>
    </row>
    <row r="8">
      <c r="A8" s="5" t="inlineStr">
        <is>
          <t>RNF-ADCS-02</t>
        </is>
      </c>
      <c r="B8" s="6" t="inlineStr">
        <is>
          <t>Consumo de Potencia</t>
        </is>
      </c>
      <c r="C8" s="6" t="inlineStr">
        <is>
          <t>El consumo promedio del ADCS en modo nominal será &lt;= 0.20 W y en modo captura &lt;= 1.25 W.</t>
        </is>
      </c>
      <c r="D8" s="6" t="inlineStr">
        <is>
          <t>Potencia nominal &lt;= 0.20 W</t>
        </is>
      </c>
      <c r="E8" s="6" t="inlineStr">
        <is>
          <t>Prueba Eléctrica en Laboratorio</t>
        </is>
      </c>
    </row>
    <row r="9">
      <c r="A9" s="5" t="inlineStr">
        <is>
          <t>RA-ADCS-01</t>
        </is>
      </c>
      <c r="B9" s="6" t="inlineStr">
        <is>
          <t>Compatibilidad Magnética</t>
        </is>
      </c>
      <c r="C9" s="6" t="inlineStr">
        <is>
          <t>El ADCS no generará campos magnéticos residuales que afecten al magnetómetro en modo lectura.</t>
        </is>
      </c>
      <c r="D9" s="6" t="inlineStr">
        <is>
          <t>Campo residual &lt; 50 nT</t>
        </is>
      </c>
      <c r="E9" s="6" t="inlineStr">
        <is>
          <t>Calibración en Cámara Helmholtz</t>
        </is>
      </c>
    </row>
    <row r="10">
      <c r="A10" s="5" t="inlineStr">
        <is>
          <t>RN-ADCS-01</t>
        </is>
      </c>
      <c r="B10" s="6" t="inlineStr">
        <is>
          <t>Cumplimiento CDS 1U</t>
        </is>
      </c>
      <c r="C10" s="6" t="inlineStr">
        <is>
          <t>El módulo de ruedas de reacción y magnetorquers respetará la envolvente mecánica interna de 1U.</t>
        </is>
      </c>
      <c r="D10" s="6" t="inlineStr">
        <is>
          <t>Envolvente mecánica 1U</t>
        </is>
      </c>
      <c r="E10" s="6" t="inlineStr">
        <is>
          <t>Inspección Modelo CAD 3D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37" customWidth="1" min="4" max="4"/>
    <col width="22" customWidth="1" min="5" max="5"/>
    <col width="44" customWidth="1" min="6" max="6"/>
  </cols>
  <sheetData>
    <row r="1">
      <c r="A1" s="1" t="inlineStr">
        <is>
          <t>ESPECIFICACIONES TÉCNICAS Y MATRIZ DE TRAZABILIDAD (ADCS)</t>
        </is>
      </c>
    </row>
    <row r="2">
      <c r="A2" s="4" t="inlineStr">
        <is>
          <t>Código Espec.</t>
        </is>
      </c>
      <c r="B2" s="4" t="inlineStr">
        <is>
          <t>Nombre de la Especificación</t>
        </is>
      </c>
      <c r="C2" s="4" t="inlineStr">
        <is>
          <t>Valor Cuantitativo / Límite</t>
        </is>
      </c>
      <c r="D2" s="4" t="inlineStr">
        <is>
          <t>Componente Asociado</t>
        </is>
      </c>
      <c r="E2" s="4" t="inlineStr">
        <is>
          <t>Requisito de Origen</t>
        </is>
      </c>
      <c r="F2" s="4" t="inlineStr">
        <is>
          <t>Margen de Diseño / Observación</t>
        </is>
      </c>
    </row>
    <row r="3">
      <c r="A3" s="5" t="inlineStr">
        <is>
          <t>ET-ADCS-01</t>
        </is>
      </c>
      <c r="B3" s="6" t="inlineStr">
        <is>
          <t>Precisión de Apuntado Nadir</t>
        </is>
      </c>
      <c r="C3" s="6" t="inlineStr">
        <is>
          <t>1.5° (Deriva &lt;= 0.05°/s)</t>
        </is>
      </c>
      <c r="D3" s="6" t="inlineStr">
        <is>
          <t>3x Ruedas de Reacción CubeWheel</t>
        </is>
      </c>
      <c r="E3" s="6" t="inlineStr">
        <is>
          <t>RF-ADCS-02</t>
        </is>
      </c>
      <c r="F3" s="6" t="inlineStr">
        <is>
          <t>Margen del 25% respecto a límite OV2740</t>
        </is>
      </c>
    </row>
    <row r="4">
      <c r="A4" s="5" t="inlineStr">
        <is>
          <t>ET-ADCS-02</t>
        </is>
      </c>
      <c r="B4" s="6" t="inlineStr">
        <is>
          <t>Momento Magnético MTQs</t>
        </is>
      </c>
      <c r="C4" s="6" t="inlineStr">
        <is>
          <t>0.20 A·m² por eje</t>
        </is>
      </c>
      <c r="D4" s="6" t="inlineStr">
        <is>
          <t>2x Rods NanoAvionics + 1x Coil PCB</t>
        </is>
      </c>
      <c r="E4" s="6" t="inlineStr">
        <is>
          <t>RF-ADCS-03</t>
        </is>
      </c>
      <c r="F4" s="6" t="inlineStr">
        <is>
          <t>Suficiente para detumbling en 550 km</t>
        </is>
      </c>
    </row>
    <row r="5">
      <c r="A5" s="5" t="inlineStr">
        <is>
          <t>ET-ADCS-03</t>
        </is>
      </c>
      <c r="B5" s="6" t="inlineStr">
        <is>
          <t>Ancho de Banda de Control</t>
        </is>
      </c>
      <c r="C5" s="6" t="inlineStr">
        <is>
          <t>10 Hz (Loop de Control)</t>
        </is>
      </c>
      <c r="D5" s="6" t="inlineStr">
        <is>
          <t>STM32H743 Cortex-M7 FSW</t>
        </is>
      </c>
      <c r="E5" s="6" t="inlineStr">
        <is>
          <t>RF-ADCS-01</t>
        </is>
      </c>
      <c r="F5" s="6" t="inlineStr">
        <is>
          <t>Ejecución de EKF a 50 Hz en RTOS</t>
        </is>
      </c>
    </row>
    <row r="6">
      <c r="A6" s="5" t="inlineStr">
        <is>
          <t>ET-ADCS-04</t>
        </is>
      </c>
      <c r="B6" s="6" t="inlineStr">
        <is>
          <t>Ruido de Magnetómetro</t>
        </is>
      </c>
      <c r="C6" s="6" t="inlineStr">
        <is>
          <t>13 nT RMS</t>
        </is>
      </c>
      <c r="D6" s="6" t="inlineStr">
        <is>
          <t>PNI RM3100 3D Mag Sensor</t>
        </is>
      </c>
      <c r="E6" s="6" t="inlineStr">
        <is>
          <t>RF-ADCS-01</t>
        </is>
      </c>
      <c r="F6" s="6" t="inlineStr">
        <is>
          <t>Sin necesidad de boom desplegable</t>
        </is>
      </c>
    </row>
    <row r="7">
      <c r="A7" s="5" t="inlineStr">
        <is>
          <t>ET-ADCS-05</t>
        </is>
      </c>
      <c r="B7" s="6" t="inlineStr">
        <is>
          <t>Ruido de Giroscopio IMU</t>
        </is>
      </c>
      <c r="C7" s="6" t="inlineStr">
        <is>
          <t>0.005 dps/sqrt(Hz)</t>
        </is>
      </c>
      <c r="D7" s="6" t="inlineStr">
        <is>
          <t>TDK InvenSense ICM-20948</t>
        </is>
      </c>
      <c r="E7" s="6" t="inlineStr">
        <is>
          <t>RF-ADCS-01</t>
        </is>
      </c>
      <c r="F7" s="6" t="inlineStr">
        <is>
          <t>Filtro de Kalman reduce drift a &lt;0.1°/min</t>
        </is>
      </c>
    </row>
    <row r="8">
      <c r="A8" s="5" t="inlineStr">
        <is>
          <t>ET-ADCS-06</t>
        </is>
      </c>
      <c r="B8" s="6" t="inlineStr">
        <is>
          <t>Consumo en Apuntado Nadir</t>
        </is>
      </c>
      <c r="C8" s="6" t="inlineStr">
        <is>
          <t>1.20 W pico</t>
        </is>
      </c>
      <c r="D8" s="6" t="inlineStr">
        <is>
          <t>Drivers DRV8837C + CubeWheel</t>
        </is>
      </c>
      <c r="E8" s="6" t="inlineStr">
        <is>
          <t>RNF-ADCS-02</t>
        </is>
      </c>
      <c r="F8" s="6" t="inlineStr">
        <is>
          <t>Operación garantizada durante 4.5 min</t>
        </is>
      </c>
    </row>
    <row r="9">
      <c r="A9" s="5" t="inlineStr">
        <is>
          <t>ET-ADCS-07</t>
        </is>
      </c>
      <c r="B9" s="6" t="inlineStr">
        <is>
          <t>Masa Total del Módulo</t>
        </is>
      </c>
      <c r="C9" s="6" t="inlineStr">
        <is>
          <t>148.0 g</t>
        </is>
      </c>
      <c r="D9" s="6" t="inlineStr">
        <is>
          <t>Ensamblaje completo ADCS 1U</t>
        </is>
      </c>
      <c r="E9" s="6" t="inlineStr">
        <is>
          <t>RNF-ADCS-01</t>
        </is>
      </c>
      <c r="F9" s="6" t="inlineStr">
        <is>
          <t>Margen de masa de 12.0 g (7.5%)</t>
        </is>
      </c>
    </row>
    <row r="10">
      <c r="A10" s="5" t="inlineStr">
        <is>
          <t>ET-ADCS-08</t>
        </is>
      </c>
      <c r="B10" s="6" t="inlineStr">
        <is>
          <t>Volumen Z de Ruedas</t>
        </is>
      </c>
      <c r="C10" s="6" t="inlineStr">
        <is>
          <t>12.0 mm de altura</t>
        </is>
      </c>
      <c r="D10" s="6" t="inlineStr">
        <is>
          <t>Pack 3-Ejes 40x40x12 mm</t>
        </is>
      </c>
      <c r="E10" s="6" t="inlineStr">
        <is>
          <t>RN-ADCS-01</t>
        </is>
      </c>
      <c r="F10" s="6" t="inlineStr">
        <is>
          <t>Acomodado en la base interna +Z Zenith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48" customWidth="1" min="3" max="3"/>
    <col width="54" customWidth="1" min="4" max="4"/>
  </cols>
  <sheetData>
    <row r="1">
      <c r="A1" s="1" t="inlineStr">
        <is>
          <t>DISTRIBUCIÓN DE FUNCIONES HARDWARE Y SOFTWARE (ADCS)</t>
        </is>
      </c>
    </row>
    <row r="2">
      <c r="A2" s="4" t="inlineStr">
        <is>
          <t>Función del ADCS</t>
        </is>
      </c>
      <c r="B2" s="4" t="inlineStr">
        <is>
          <t>Tipo de Implementación</t>
        </is>
      </c>
      <c r="C2" s="4" t="inlineStr">
        <is>
          <t>Recurso Físico / Módulo Encargado</t>
        </is>
      </c>
      <c r="D2" s="4" t="inlineStr">
        <is>
          <t>Descripción Operativa</t>
        </is>
      </c>
    </row>
    <row r="3">
      <c r="A3" s="5" t="inlineStr">
        <is>
          <t>Lectura de Sensores (Mag, IMU, CSS)</t>
        </is>
      </c>
      <c r="B3" s="6" t="inlineStr">
        <is>
          <t>Mixta</t>
        </is>
      </c>
      <c r="C3" s="6" t="inlineStr">
        <is>
          <t>Hardware ADC/SPI/I2C + Drivers FSW en STM32H7</t>
        </is>
      </c>
      <c r="D3" s="6" t="inlineStr">
        <is>
          <t>Adquisición a 50 Hz de B-field, w y vectores CSS</t>
        </is>
      </c>
    </row>
    <row r="4">
      <c r="A4" s="5" t="inlineStr">
        <is>
          <t>Filtro de Kalman Extendido (EKF)</t>
        </is>
      </c>
      <c r="B4" s="6" t="inlineStr">
        <is>
          <t>Software</t>
        </is>
      </c>
      <c r="C4" s="6" t="inlineStr">
        <is>
          <t>Tarea RTOS de alta prioridad en STM32H7</t>
        </is>
      </c>
      <c r="D4" s="6" t="inlineStr">
        <is>
          <t>Estimación de cuaternión de actitud y drift de giro</t>
        </is>
      </c>
    </row>
    <row r="5">
      <c r="A5" s="5" t="inlineStr">
        <is>
          <t>Algoritmo Detumbling B-Dot</t>
        </is>
      </c>
      <c r="B5" s="6" t="inlineStr">
        <is>
          <t>Software</t>
        </is>
      </c>
      <c r="C5" s="6" t="inlineStr">
        <is>
          <t>Software de Vuelo en STM32H7 (Modo Seguro)</t>
        </is>
      </c>
      <c r="D5" s="6" t="inlineStr">
        <is>
          <t>Cálculo de momento dipolo m = -K * dB/dt</t>
        </is>
      </c>
    </row>
    <row r="6">
      <c r="A6" s="5" t="inlineStr">
        <is>
          <t>Control PID de Ruedas de Reacción</t>
        </is>
      </c>
      <c r="B6" s="6" t="inlineStr">
        <is>
          <t>Software</t>
        </is>
      </c>
      <c r="C6" s="6" t="inlineStr">
        <is>
          <t>Software de Vuelo en STM32H7 (Modo Captura)</t>
        </is>
      </c>
      <c r="D6" s="6" t="inlineStr">
        <is>
          <t>Generación de comando de torque y velocidad rueda</t>
        </is>
      </c>
    </row>
    <row r="7">
      <c r="A7" s="5" t="inlineStr">
        <is>
          <t>Generación de Señales PWM Drivers</t>
        </is>
      </c>
      <c r="B7" s="6" t="inlineStr">
        <is>
          <t>Hardware</t>
        </is>
      </c>
      <c r="C7" s="6" t="inlineStr">
        <is>
          <t>Timers PWM del microcontrolador STM32H7</t>
        </is>
      </c>
      <c r="D7" s="6" t="inlineStr">
        <is>
          <t>Conmutación de H-Bridges DRV8837C a 20 kHz</t>
        </is>
      </c>
    </row>
    <row r="8">
      <c r="A8" s="5" t="inlineStr">
        <is>
          <t>Desaturación de Ruedas de Reacción</t>
        </is>
      </c>
      <c r="B8" s="6" t="inlineStr">
        <is>
          <t>Software</t>
        </is>
      </c>
      <c r="C8" s="6" t="inlineStr">
        <is>
          <t>Tarea background en FSW de STM32H7</t>
        </is>
      </c>
      <c r="D8" s="6" t="inlineStr">
        <is>
          <t>Aplicación de torque magnético inverso con MTQs</t>
        </is>
      </c>
    </row>
    <row r="9">
      <c r="A9" s="5" t="inlineStr">
        <is>
          <t>Protección por Sobrecorriente MTQs</t>
        </is>
      </c>
      <c r="B9" s="6" t="inlineStr">
        <is>
          <t>Hardware</t>
        </is>
      </c>
      <c r="C9" s="6" t="inlineStr">
        <is>
          <t>LCL TPS2553 + Resistencia Sensado 10mΩ</t>
        </is>
      </c>
      <c r="D9" s="6" t="inlineStr">
        <is>
          <t>Corte por hardware independiente de software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89" customWidth="1" min="2" max="2"/>
    <col width="39" customWidth="1" min="3" max="3"/>
    <col width="18" customWidth="1" min="4" max="4"/>
    <col width="37" customWidth="1" min="5" max="5"/>
    <col width="18" customWidth="1" min="6" max="6"/>
    <col width="40" customWidth="1" min="7" max="7"/>
    <col width="18" customWidth="1" min="8" max="8"/>
  </cols>
  <sheetData>
    <row r="1">
      <c r="A1" s="1" t="inlineStr">
        <is>
          <t>EVALUACIÓN DE ALTERNATIVAS Y MATRIZ DE DECISIÓN (ADCS)</t>
        </is>
      </c>
    </row>
    <row r="2"/>
    <row r="3">
      <c r="A3" s="3" t="inlineStr">
        <is>
          <t>1. DESCRIPCIÓN DE ALTERNATIVAS DE ARQUITECTURA ADCS</t>
        </is>
      </c>
    </row>
    <row r="4">
      <c r="A4" s="5" t="inlineStr">
        <is>
          <t>Alternativa 1 (Seleccionada)</t>
        </is>
      </c>
      <c r="B4" s="6" t="inlineStr">
        <is>
          <t>ADCS Activo Completo: 3x Ruedas de Reacción + 3x MTQs + EKF en STM32H7. Alta precisión de apuntado (&lt;1.5°), permite captura nítida con Rolling Shutter.</t>
        </is>
      </c>
    </row>
    <row r="5">
      <c r="A5" s="5" t="inlineStr">
        <is>
          <t>Alternativa 2</t>
        </is>
      </c>
      <c r="B5" s="6" t="inlineStr">
        <is>
          <t>ADCS Solo Magnetorquers (Pasivo/B-Dot puro): Sin ruedas de reacción. Muy bajo consumo (0.20 W) y menor masa (60 g), pero incapacidad de estabilizar en &lt;0.05°/s (alto smearing en imagen).</t>
        </is>
      </c>
    </row>
    <row r="6">
      <c r="A6" s="5" t="inlineStr">
        <is>
          <t>Alternativa 3</t>
        </is>
      </c>
      <c r="B6" s="6" t="inlineStr">
        <is>
          <t>ADCS COTS Integrado Comercial (Módulo comercial cerrado): Alta confiabilidad pero costo &gt;$15k USD y consumo rígido de 1.8 W sin optimización para el proyecto.</t>
        </is>
      </c>
    </row>
    <row r="7"/>
    <row r="8">
      <c r="A8" s="3" t="inlineStr">
        <is>
          <t>2. MATRIZ DE DECISIÓN PONDERADA</t>
        </is>
      </c>
    </row>
    <row r="9">
      <c r="A9" s="4" t="inlineStr">
        <is>
          <t>Criterio de Evaluación</t>
        </is>
      </c>
      <c r="B9" s="4" t="inlineStr">
        <is>
          <t>Peso %</t>
        </is>
      </c>
      <c r="C9" s="4" t="inlineStr">
        <is>
          <t>Alt 1: Activo Ruedas+MTQs (Nota 1-5)</t>
        </is>
      </c>
      <c r="D9" s="4" t="inlineStr">
        <is>
          <t>Alt 1 Ponderado</t>
        </is>
      </c>
      <c r="E9" s="4" t="inlineStr">
        <is>
          <t>Alt 2: Solo MTQs Pasivo (Nota 1-5)</t>
        </is>
      </c>
      <c r="F9" s="4" t="inlineStr">
        <is>
          <t>Alt 2 Ponderado</t>
        </is>
      </c>
      <c r="G9" s="4" t="inlineStr">
        <is>
          <t>Alt 3: Módulo COTS Cerrado (Nota 1-5)</t>
        </is>
      </c>
      <c r="H9" s="4" t="inlineStr">
        <is>
          <t>Alt 3 Ponderado</t>
        </is>
      </c>
    </row>
    <row r="10">
      <c r="A10" s="5" t="inlineStr">
        <is>
          <t>Precisión de Apuntado (Deriva &lt;= 0.05°/s)</t>
        </is>
      </c>
      <c r="B10" s="9" t="n">
        <v>0.35</v>
      </c>
      <c r="C10" s="10" t="n">
        <v>5</v>
      </c>
      <c r="D10" s="11">
        <f>B10*C10</f>
        <v/>
      </c>
      <c r="E10" s="10" t="n">
        <v>1</v>
      </c>
      <c r="F10" s="11">
        <f>B10*E10</f>
        <v/>
      </c>
      <c r="G10" s="10" t="n">
        <v>3</v>
      </c>
      <c r="H10" s="11">
        <f>B10*G10</f>
        <v/>
      </c>
    </row>
    <row r="11">
      <c r="A11" s="5" t="inlineStr">
        <is>
          <t>Cumplimiento de Masa y Volumen 1U</t>
        </is>
      </c>
      <c r="B11" s="9" t="n">
        <v>0.2</v>
      </c>
      <c r="C11" s="10" t="n">
        <v>4</v>
      </c>
      <c r="D11" s="11">
        <f>B11*C11</f>
        <v/>
      </c>
      <c r="E11" s="10" t="n">
        <v>5</v>
      </c>
      <c r="F11" s="11">
        <f>B11*E11</f>
        <v/>
      </c>
      <c r="G11" s="10" t="n">
        <v>3</v>
      </c>
      <c r="H11" s="11">
        <f>B11*G11</f>
        <v/>
      </c>
    </row>
    <row r="12">
      <c r="A12" s="5" t="inlineStr">
        <is>
          <t>Eficiencia Energética (Consumo)</t>
        </is>
      </c>
      <c r="B12" s="9" t="n">
        <v>0.2</v>
      </c>
      <c r="C12" s="10" t="n">
        <v>4</v>
      </c>
      <c r="D12" s="11">
        <f>B12*C12</f>
        <v/>
      </c>
      <c r="E12" s="10" t="n">
        <v>5</v>
      </c>
      <c r="F12" s="11">
        <f>B12*E12</f>
        <v/>
      </c>
      <c r="G12" s="10" t="n">
        <v>2</v>
      </c>
      <c r="H12" s="11">
        <f>B12*G12</f>
        <v/>
      </c>
    </row>
    <row r="13">
      <c r="A13" s="5" t="inlineStr">
        <is>
          <t>Costo y Complejidad de Integración</t>
        </is>
      </c>
      <c r="B13" s="9" t="n">
        <v>0.15</v>
      </c>
      <c r="C13" s="10" t="n">
        <v>4</v>
      </c>
      <c r="D13" s="11">
        <f>B13*C13</f>
        <v/>
      </c>
      <c r="E13" s="10" t="n">
        <v>5</v>
      </c>
      <c r="F13" s="11">
        <f>B13*E13</f>
        <v/>
      </c>
      <c r="G13" s="10" t="n">
        <v>2</v>
      </c>
      <c r="H13" s="11">
        <f>B13*G13</f>
        <v/>
      </c>
    </row>
    <row r="14">
      <c r="A14" s="5" t="inlineStr">
        <is>
          <t>Patrimonio de Vuelo / Confiabilidad</t>
        </is>
      </c>
      <c r="B14" s="9" t="n">
        <v>0.1</v>
      </c>
      <c r="C14" s="10" t="n">
        <v>5</v>
      </c>
      <c r="D14" s="11">
        <f>B14*C14</f>
        <v/>
      </c>
      <c r="E14" s="10" t="n">
        <v>3</v>
      </c>
      <c r="F14" s="11">
        <f>B14*E14</f>
        <v/>
      </c>
      <c r="G14" s="10" t="n">
        <v>5</v>
      </c>
      <c r="H14" s="11">
        <f>B14*G14</f>
        <v/>
      </c>
    </row>
    <row r="15">
      <c r="A15" s="12" t="inlineStr">
        <is>
          <t>PUNTUACIÓN TOTAL FINAL</t>
        </is>
      </c>
      <c r="B15" s="12" t="inlineStr">
        <is>
          <t>100%</t>
        </is>
      </c>
      <c r="C15" s="13" t="n"/>
      <c r="D15" s="14">
        <f>SUM(D10:D14)</f>
        <v/>
      </c>
      <c r="E15" s="13" t="n"/>
      <c r="F15" s="14">
        <f>SUM(F10:F14)</f>
        <v/>
      </c>
      <c r="G15" s="13" t="n"/>
      <c r="H15" s="14">
        <f>SUM(H10:H14)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9" customWidth="1" min="2" max="2"/>
    <col width="29" customWidth="1" min="3" max="3"/>
    <col width="33" customWidth="1" min="4" max="4"/>
    <col width="63" customWidth="1" min="5" max="5"/>
  </cols>
  <sheetData>
    <row r="1">
      <c r="A1" s="1" t="inlineStr">
        <is>
          <t>DEFINICIÓN DE INTERFACES DEL SUBSISTEMA ADCS (ICD)</t>
        </is>
      </c>
    </row>
    <row r="2">
      <c r="A2" s="4" t="inlineStr">
        <is>
          <t>Código Interfaz</t>
        </is>
      </c>
      <c r="B2" s="4" t="inlineStr">
        <is>
          <t>Tipo de Interfaz</t>
        </is>
      </c>
      <c r="C2" s="4" t="inlineStr">
        <is>
          <t>Origen / Destino</t>
        </is>
      </c>
      <c r="D2" s="4" t="inlineStr">
        <is>
          <t>Señales / Protocolo</t>
        </is>
      </c>
      <c r="E2" s="4" t="inlineStr">
        <is>
          <t>Descripción Funcional</t>
        </is>
      </c>
    </row>
    <row r="3">
      <c r="A3" s="5" t="inlineStr">
        <is>
          <t>IF-PWR-ADCS</t>
        </is>
      </c>
      <c r="B3" s="6" t="inlineStr">
        <is>
          <t>Potencia</t>
        </is>
      </c>
      <c r="C3" s="6" t="inlineStr">
        <is>
          <t>EPS (PCB 3) -&gt; ADCS</t>
        </is>
      </c>
      <c r="D3" s="6" t="inlineStr">
        <is>
          <t>Líneas +3.3V y V_BAT (7.4V)</t>
        </is>
      </c>
      <c r="E3" s="6" t="inlineStr">
        <is>
          <t>Alimentación de drivers DRV8837C y pack de ruedas CubeWheel.</t>
        </is>
      </c>
    </row>
    <row r="4">
      <c r="A4" s="5" t="inlineStr">
        <is>
          <t>IF-SENS-MAG</t>
        </is>
      </c>
      <c r="B4" s="6" t="inlineStr">
        <is>
          <t>Datos / Sensores</t>
        </is>
      </c>
      <c r="C4" s="6" t="inlineStr">
        <is>
          <t>RM3100 -&gt; OBC (STM32H7)</t>
        </is>
      </c>
      <c r="D4" s="6" t="inlineStr">
        <is>
          <t>I2C Bus / SPI (3.3V)</t>
        </is>
      </c>
      <c r="E4" s="6" t="inlineStr">
        <is>
          <t>Lectura de vector magnético 3D B-field a 50 Hz.</t>
        </is>
      </c>
    </row>
    <row r="5">
      <c r="A5" s="5" t="inlineStr">
        <is>
          <t>IF-SENS-IMU</t>
        </is>
      </c>
      <c r="B5" s="6" t="inlineStr">
        <is>
          <t>Datos / Sensores</t>
        </is>
      </c>
      <c r="C5" s="6" t="inlineStr">
        <is>
          <t>ICM-20948 -&gt; OBC (STM32H7)</t>
        </is>
      </c>
      <c r="D5" s="6" t="inlineStr">
        <is>
          <t>SPI Bus (8 MHz)</t>
        </is>
      </c>
      <c r="E5" s="6" t="inlineStr">
        <is>
          <t>Lectura de velocidad angular w y aceleración lineal.</t>
        </is>
      </c>
    </row>
    <row r="6">
      <c r="A6" s="5" t="inlineStr">
        <is>
          <t>IF-SENS-CSS</t>
        </is>
      </c>
      <c r="B6" s="6" t="inlineStr">
        <is>
          <t>Analógica</t>
        </is>
      </c>
      <c r="C6" s="6" t="inlineStr">
        <is>
          <t>5x CSS -&gt; ADC STM32H7</t>
        </is>
      </c>
      <c r="D6" s="6" t="inlineStr">
        <is>
          <t>5x Canales Analógicos (0-3.3V)</t>
        </is>
      </c>
      <c r="E6" s="6" t="inlineStr">
        <is>
          <t>Lectura de intensidad fotovoltaica para posición solar.</t>
        </is>
      </c>
    </row>
    <row r="7">
      <c r="A7" s="5" t="inlineStr">
        <is>
          <t>IF-ACT-RW</t>
        </is>
      </c>
      <c r="B7" s="6" t="inlineStr">
        <is>
          <t>Control Actuador</t>
        </is>
      </c>
      <c r="C7" s="6" t="inlineStr">
        <is>
          <t>STM32H7 -&gt; CubeWheel Pack</t>
        </is>
      </c>
      <c r="D7" s="6" t="inlineStr">
        <is>
          <t>I2C / CAN Bus (3.3V)</t>
        </is>
      </c>
      <c r="E7" s="6" t="inlineStr">
        <is>
          <t>Envío de comandos de velocidad/torque a ruedas de reacción.</t>
        </is>
      </c>
    </row>
    <row r="8">
      <c r="A8" s="5" t="inlineStr">
        <is>
          <t>IF-ACT-MTQ</t>
        </is>
      </c>
      <c r="B8" s="6" t="inlineStr">
        <is>
          <t>Control Actuador</t>
        </is>
      </c>
      <c r="C8" s="6" t="inlineStr">
        <is>
          <t>STM32H7 -&gt; 3x DRV8837C</t>
        </is>
      </c>
      <c r="D8" s="6" t="inlineStr">
        <is>
          <t>6x Líneas PWM (20 kHz)</t>
        </is>
      </c>
      <c r="E8" s="6" t="inlineStr">
        <is>
          <t>Control de sentido y magnitud de corriente en bobinas MTQ.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7" customWidth="1" min="2" max="2"/>
    <col width="24" customWidth="1" min="3" max="3"/>
    <col width="25" customWidth="1" min="4" max="4"/>
  </cols>
  <sheetData>
    <row r="1">
      <c r="A1" s="1" t="inlineStr">
        <is>
          <t>PRESUPUESTOS DE RECURSOS: POTENCIA, ENERGÍA Y MASA (ADCS)</t>
        </is>
      </c>
    </row>
    <row r="2"/>
    <row r="3">
      <c r="A3" s="3" t="inlineStr">
        <is>
          <t>1. PRESUPUESTO DE MASA DEL ADCS</t>
        </is>
      </c>
    </row>
    <row r="4">
      <c r="A4" s="4" t="inlineStr">
        <is>
          <t>Componente ADCS</t>
        </is>
      </c>
      <c r="B4" s="4" t="inlineStr">
        <is>
          <t>Cantidad</t>
        </is>
      </c>
      <c r="C4" s="4" t="inlineStr">
        <is>
          <t>Masa Unitaria (g)</t>
        </is>
      </c>
      <c r="D4" s="4" t="inlineStr">
        <is>
          <t>Masa Subtotal (g)</t>
        </is>
      </c>
    </row>
    <row r="5">
      <c r="A5" s="6" t="inlineStr">
        <is>
          <t>Pack 3-Ejes Ruedas de Reacción (CubeWheel)</t>
        </is>
      </c>
      <c r="B5" s="10" t="n">
        <v>1</v>
      </c>
      <c r="C5" s="10" t="n">
        <v>120</v>
      </c>
      <c r="D5" s="11">
        <f>B5*C5</f>
        <v/>
      </c>
    </row>
    <row r="6">
      <c r="A6" s="6" t="inlineStr">
        <is>
          <t>Soporte Mecánico Aluminio Ruedas</t>
        </is>
      </c>
      <c r="B6" s="10" t="n">
        <v>1</v>
      </c>
      <c r="C6" s="10" t="n">
        <v>12</v>
      </c>
      <c r="D6" s="11">
        <f>B6*C6</f>
        <v/>
      </c>
    </row>
    <row r="7">
      <c r="A7" s="6" t="inlineStr">
        <is>
          <t>Barras Magnetorquers X e Y (NanoAvionics)</t>
        </is>
      </c>
      <c r="B7" s="10" t="n">
        <v>2</v>
      </c>
      <c r="C7" s="10" t="n">
        <v>6</v>
      </c>
      <c r="D7" s="11">
        <f>B7*C7</f>
        <v/>
      </c>
    </row>
    <row r="8">
      <c r="A8" s="6" t="inlineStr">
        <is>
          <t>Bobina Magnetorquer Z (en PCB 2)</t>
        </is>
      </c>
      <c r="B8" s="10" t="n">
        <v>1</v>
      </c>
      <c r="C8" s="10" t="n">
        <v>2</v>
      </c>
      <c r="D8" s="11">
        <f>B8*C8</f>
        <v/>
      </c>
    </row>
    <row r="9">
      <c r="A9" s="6" t="inlineStr">
        <is>
          <t>Sensor Magnetómetro 3D RM3100 + IMU ICM-20948</t>
        </is>
      </c>
      <c r="B9" s="10" t="n">
        <v>1</v>
      </c>
      <c r="C9" s="10" t="n">
        <v>3</v>
      </c>
      <c r="D9" s="11">
        <f>B9*C9</f>
        <v/>
      </c>
    </row>
    <row r="10">
      <c r="A10" s="6" t="inlineStr">
        <is>
          <t>5x Sensores Solares Gruesos (CSS OSRAM)</t>
        </is>
      </c>
      <c r="B10" s="10" t="n">
        <v>5</v>
      </c>
      <c r="C10" s="10" t="n">
        <v>0.2</v>
      </c>
      <c r="D10" s="11">
        <f>B10*C10</f>
        <v/>
      </c>
    </row>
    <row r="11">
      <c r="A11" s="6" t="inlineStr">
        <is>
          <t>Drivers H-Bridge DRV8837C + Pasivos SMD</t>
        </is>
      </c>
      <c r="B11" s="10" t="n">
        <v>3</v>
      </c>
      <c r="C11" s="10" t="n">
        <v>0.4</v>
      </c>
      <c r="D11" s="11">
        <f>B11*C11</f>
        <v/>
      </c>
    </row>
    <row r="12">
      <c r="A12" s="12" t="inlineStr">
        <is>
          <t>MASA TOTAL ADCS (g)</t>
        </is>
      </c>
      <c r="B12" s="13" t="n"/>
      <c r="C12" s="13" t="n"/>
      <c r="D12" s="14">
        <f>SUM(D5:D11)</f>
        <v/>
      </c>
    </row>
    <row r="13"/>
    <row r="14">
      <c r="A14" s="3" t="inlineStr">
        <is>
          <t>2. PRESUPUESTO DE ENERGÍA POR MODO ORBITAL (ÓRBITA 90 MIN)</t>
        </is>
      </c>
    </row>
    <row r="15">
      <c r="A15" s="4" t="inlineStr">
        <is>
          <t>Modo Operativo ADCS</t>
        </is>
      </c>
      <c r="B15" s="4" t="inlineStr">
        <is>
          <t>Duración (min)</t>
        </is>
      </c>
      <c r="C15" s="4" t="inlineStr">
        <is>
          <t>Potencia Potencia (W)</t>
        </is>
      </c>
      <c r="D15" s="4" t="inlineStr">
        <is>
          <t>Energía Consumida (Wh)</t>
        </is>
      </c>
    </row>
    <row r="16">
      <c r="A16" s="6" t="inlineStr">
        <is>
          <t>Modo Sol / Crucero Nominal</t>
        </is>
      </c>
      <c r="B16" s="10" t="n">
        <v>55</v>
      </c>
      <c r="C16" s="10" t="n">
        <v>0.2</v>
      </c>
      <c r="D16" s="11">
        <f>(B16/60)*C16</f>
        <v/>
      </c>
    </row>
    <row r="17">
      <c r="A17" s="6" t="inlineStr">
        <is>
          <t>Modo Captura Nadir (Colombia)</t>
        </is>
      </c>
      <c r="B17" s="10" t="n">
        <v>4.5</v>
      </c>
      <c r="C17" s="10" t="n">
        <v>1.2</v>
      </c>
      <c r="D17" s="11">
        <f>(B17/60)*C17</f>
        <v/>
      </c>
    </row>
    <row r="18">
      <c r="A18" s="6" t="inlineStr">
        <is>
          <t>Modo Transmisión (Downlink)</t>
        </is>
      </c>
      <c r="B18" s="10" t="n">
        <v>8.300000000000001</v>
      </c>
      <c r="C18" s="10" t="n">
        <v>0.2</v>
      </c>
      <c r="D18" s="11">
        <f>(B18/60)*C18</f>
        <v/>
      </c>
    </row>
    <row r="19">
      <c r="A19" s="6" t="inlineStr">
        <is>
          <t>Modo Eclipse (Noche Orbital)</t>
        </is>
      </c>
      <c r="B19" s="10" t="n">
        <v>35</v>
      </c>
      <c r="C19" s="10" t="n">
        <v>0.2</v>
      </c>
      <c r="D19" s="11">
        <f>(B19/60)*C19</f>
        <v/>
      </c>
    </row>
    <row r="20">
      <c r="A20" s="12" t="inlineStr">
        <is>
          <t>ENERGÍA TOTAL ADCS POR ÓRBITA (Wh)</t>
        </is>
      </c>
      <c r="B20" s="13" t="n"/>
      <c r="C20" s="13" t="n"/>
      <c r="D20" s="14">
        <f>SUM(D16:D19)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32" customWidth="1" min="2" max="2"/>
    <col width="30" customWidth="1" min="3" max="3"/>
    <col width="28" customWidth="1" min="4" max="4"/>
    <col width="46" customWidth="1" min="5" max="5"/>
  </cols>
  <sheetData>
    <row r="1">
      <c r="A1" s="1" t="inlineStr">
        <is>
          <t>CONTABILIDAD DE ESPACIO, UBICACIÓN Y DIMENSIONES EN CUBESAT 1U</t>
        </is>
      </c>
    </row>
    <row r="2"/>
    <row r="3">
      <c r="A3" s="3" t="inlineStr">
        <is>
          <t>1. UBICACIÓN FÍSICA Y DIMENSIONES DE COMPONENTES ADCS EN CUBESAT 1U</t>
        </is>
      </c>
    </row>
    <row r="4">
      <c r="A4" s="4" t="inlineStr">
        <is>
          <t>Componente ADCS</t>
        </is>
      </c>
      <c r="B4" s="4" t="inlineStr">
        <is>
          <t>Ubicación Asignada en 1U</t>
        </is>
      </c>
      <c r="C4" s="4" t="inlineStr">
        <is>
          <t>Dimensiones (L x A x H)</t>
        </is>
      </c>
      <c r="D4" s="4" t="inlineStr">
        <is>
          <t>Consumo de Eje Z</t>
        </is>
      </c>
      <c r="E4" s="4" t="inlineStr">
        <is>
          <t>Criterio de Acomodado Mecánico</t>
        </is>
      </c>
    </row>
    <row r="5">
      <c r="A5" s="5" t="inlineStr">
        <is>
          <t>Pack 3-Ejes Ruedas Reacción (CubeWheel)</t>
        </is>
      </c>
      <c r="B5" s="10" t="inlineStr">
        <is>
          <t>Base marco interno +Z Zenith</t>
        </is>
      </c>
      <c r="C5" s="10" t="inlineStr">
        <is>
          <t>40.0 x 40.0 x 12.0 mm</t>
        </is>
      </c>
      <c r="D5" s="10" t="inlineStr">
        <is>
          <t>12.0 mm en eje Z</t>
        </is>
      </c>
      <c r="E5" s="10" t="inlineStr">
        <is>
          <t>Soporte de aluminio anclado a estructura</t>
        </is>
      </c>
    </row>
    <row r="6">
      <c r="A6" s="5" t="inlineStr">
        <is>
          <t>Barras Magnetorquers X e Y</t>
        </is>
      </c>
      <c r="B6" s="10" t="inlineStr">
        <is>
          <t>Rieles internos del chasis 1U</t>
        </is>
      </c>
      <c r="C6" s="10" t="inlineStr">
        <is>
          <t>8.0 mm diám x 60.0 mm largo</t>
        </is>
      </c>
      <c r="D6" s="10" t="inlineStr">
        <is>
          <t>0.0 mm en eje Z PCB</t>
        </is>
      </c>
      <c r="E6" s="10" t="inlineStr">
        <is>
          <t>Alineados con ejes de velocidad y pitch</t>
        </is>
      </c>
    </row>
    <row r="7">
      <c r="A7" s="5" t="inlineStr">
        <is>
          <t>Bobina Magnetorquer Z</t>
        </is>
      </c>
      <c r="B7" s="10" t="inlineStr">
        <is>
          <t>Traza perimetral en PCB 2</t>
        </is>
      </c>
      <c r="C7" s="10" t="inlineStr">
        <is>
          <t>80.0 x 80.0 mm en PCB</t>
        </is>
      </c>
      <c r="D7" s="10" t="inlineStr">
        <is>
          <t>0.0 mm (capa PCB interna)</t>
        </is>
      </c>
      <c r="E7" s="10" t="inlineStr">
        <is>
          <t>Diseño nativo en capas internas de PCB 2</t>
        </is>
      </c>
    </row>
    <row r="8">
      <c r="A8" s="5" t="inlineStr">
        <is>
          <t>Magnetómetro 3D RM3100</t>
        </is>
      </c>
      <c r="B8" s="10" t="inlineStr">
        <is>
          <t>Esquina externa TOP PCB 2</t>
        </is>
      </c>
      <c r="C8" s="10" t="inlineStr">
        <is>
          <t>6.0 x 6.0 x 2.0 mm</t>
        </is>
      </c>
      <c r="D8" s="10" t="inlineStr">
        <is>
          <t>2.0 mm componente TOP</t>
        </is>
      </c>
      <c r="E8" s="10" t="inlineStr">
        <is>
          <t>Alejado 35 mm de fuentes de ruido DC</t>
        </is>
      </c>
    </row>
    <row r="9">
      <c r="A9" s="5" t="inlineStr">
        <is>
          <t>Sensor IMU 9D ICM-20948</t>
        </is>
      </c>
      <c r="B9" s="10" t="inlineStr">
        <is>
          <t>Centro geográfico PCB 2</t>
        </is>
      </c>
      <c r="C9" s="10" t="inlineStr">
        <is>
          <t>3.0 x 3.0 x 1.0 mm</t>
        </is>
      </c>
      <c r="D9" s="10" t="inlineStr">
        <is>
          <t>1.0 mm componente TOP</t>
        </is>
      </c>
      <c r="E9" s="10" t="inlineStr">
        <is>
          <t>Cerca del Centro de Masa (CoM) del satélite</t>
        </is>
      </c>
    </row>
    <row r="10">
      <c r="A10" s="5" t="inlineStr">
        <is>
          <t>5x Sensores Solares (CSS)</t>
        </is>
      </c>
      <c r="B10" s="10" t="inlineStr">
        <is>
          <t>5 Paneles Solares Externos</t>
        </is>
      </c>
      <c r="C10" s="10" t="inlineStr">
        <is>
          <t>4.5 x 1.5 x 1.0 mm cada uno</t>
        </is>
      </c>
      <c r="D10" s="10" t="inlineStr">
        <is>
          <t>0.0 mm en eje Z interno</t>
        </is>
      </c>
      <c r="E10" s="10" t="inlineStr">
        <is>
          <t>Montados a ras de superficie exterior</t>
        </is>
      </c>
    </row>
    <row r="11"/>
    <row r="12">
      <c r="A12" s="3" t="inlineStr">
        <is>
          <t>2. ÁREA DE PCB 2 OCUPADA POR CIRCUITERÍA DE CONTROL ADCS</t>
        </is>
      </c>
    </row>
    <row r="13">
      <c r="A13" s="4" t="inlineStr">
        <is>
          <t>Módulo / Integrado SMD</t>
        </is>
      </c>
      <c r="B13" s="4" t="inlineStr">
        <is>
          <t>Cantidad</t>
        </is>
      </c>
      <c r="C13" s="4" t="inlineStr">
        <is>
          <t>Área Unitaria (mm²)</t>
        </is>
      </c>
      <c r="D13" s="4" t="inlineStr">
        <is>
          <t>Área Subtotal (mm²)</t>
        </is>
      </c>
    </row>
    <row r="14">
      <c r="A14" s="6" t="inlineStr">
        <is>
          <t>Magnetómetro RM3100 + IMU ICM-20948</t>
        </is>
      </c>
      <c r="B14" s="10" t="n">
        <v>2</v>
      </c>
      <c r="C14" s="10" t="n">
        <v>36</v>
      </c>
      <c r="D14" s="11">
        <f>B14*C14</f>
        <v/>
      </c>
    </row>
    <row r="15">
      <c r="A15" s="6" t="inlineStr">
        <is>
          <t>3x Drivers H-Bridge DRV8837C WSON-8</t>
        </is>
      </c>
      <c r="B15" s="10" t="n">
        <v>3</v>
      </c>
      <c r="C15" s="10" t="n">
        <v>12</v>
      </c>
      <c r="D15" s="11">
        <f>B15*C15</f>
        <v/>
      </c>
    </row>
    <row r="16">
      <c r="A16" s="6" t="inlineStr">
        <is>
          <t>Componentes Pasivos, TVS y Diodos SMD</t>
        </is>
      </c>
      <c r="B16" s="10" t="n">
        <v>15</v>
      </c>
      <c r="C16" s="10" t="n">
        <v>2.5</v>
      </c>
      <c r="D16" s="11">
        <f>B16*C16</f>
        <v/>
      </c>
    </row>
    <row r="17">
      <c r="A17" s="12" t="inlineStr">
        <is>
          <t>ÁREA TOTAL PCB ADCS (mm²)</t>
        </is>
      </c>
      <c r="B17" s="13" t="n"/>
      <c r="C17" s="13" t="n"/>
      <c r="D17" s="14">
        <f>SUM(D14:D16)</f>
        <v/>
      </c>
    </row>
    <row r="18">
      <c r="A18" s="5" t="inlineStr">
        <is>
          <t>ÁREA ÚTIL PCB 2 DISPONIBLE (mm²)</t>
        </is>
      </c>
      <c r="B18" s="10" t="n"/>
      <c r="C18" s="10" t="n"/>
      <c r="D18" s="5" t="n">
        <v>14400</v>
      </c>
    </row>
    <row r="19">
      <c r="A19" s="12" t="inlineStr">
        <is>
          <t>PORCENTAJE DE OCUPACIÓN EN PCB 2 (%)</t>
        </is>
      </c>
      <c r="B19" s="13" t="n"/>
      <c r="C19" s="13" t="n"/>
      <c r="D19" s="15">
        <f>D17/D18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2026-09-29T02:19:28Z</dcterms:created>
  <dcterms:modified xmlns:dcterms="http://purl.org/dc/terms/" xmlns:xsi="http://www.w3.org/2001/XMLSchema-instance" xsi:type="dcterms:W3CDTF">2026-09-29T02:19:28Z</dcterms:modified>
</cp:coreProperties>
</file>