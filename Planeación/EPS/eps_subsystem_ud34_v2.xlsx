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tivos_y_Parametros" sheetId="1" state="visible" r:id="rId1"/>
    <sheet xmlns:r="http://schemas.openxmlformats.org/officeDocument/2006/relationships" name="Listado_A_Componentes" sheetId="2" state="visible" r:id="rId2"/>
    <sheet xmlns:r="http://schemas.openxmlformats.org/officeDocument/2006/relationships" name="Listado_B_Componentes" sheetId="3" state="visible" r:id="rId3"/>
    <sheet xmlns:r="http://schemas.openxmlformats.org/officeDocument/2006/relationships" name="Matriz_Requisitos" sheetId="4" state="visible" r:id="rId4"/>
    <sheet xmlns:r="http://schemas.openxmlformats.org/officeDocument/2006/relationships" name="Espec_y_Trazabilidad" sheetId="5" state="visible" r:id="rId5"/>
    <sheet xmlns:r="http://schemas.openxmlformats.org/officeDocument/2006/relationships" name="Distribucion_HW_SW" sheetId="6" state="visible" r:id="rId6"/>
    <sheet xmlns:r="http://schemas.openxmlformats.org/officeDocument/2006/relationships" name="Alternativas_y_Decision" sheetId="7" state="visible" r:id="rId7"/>
    <sheet xmlns:r="http://schemas.openxmlformats.org/officeDocument/2006/relationships" name="Interfaces_ICD" sheetId="8" state="visible" r:id="rId8"/>
    <sheet xmlns:r="http://schemas.openxmlformats.org/officeDocument/2006/relationships" name="Presupuestos_Recursos" sheetId="9" state="visible" r:id="rId9"/>
    <sheet xmlns:r="http://schemas.openxmlformats.org/officeDocument/2006/relationships" name="Estimacion_PCB_Volumen" sheetId="10" state="visible" r:id="rId10"/>
    <sheet xmlns:r="http://schemas.openxmlformats.org/officeDocument/2006/relationships" name="Etapas_o_Sector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W"/>
  </numFmts>
  <fonts count="10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1"/>
    </font>
    <font>
      <name val="Calibri"/>
      <b val="1"/>
      <color rgb="001F497D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F497D"/>
      <sz val="11"/>
    </font>
    <font>
      <name val="Calibri"/>
      <b val="1"/>
      <color rgb="00004B87"/>
      <sz val="14"/>
    </font>
    <font>
      <name val="Calibri"/>
      <i val="1"/>
      <color rgb="00555555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  <fill>
      <patternFill patternType="solid">
        <fgColor rgb="00DCE6F1"/>
        <bgColor rgb="00DCE6F1"/>
      </patternFill>
    </fill>
    <fill>
      <patternFill patternType="solid">
        <fgColor rgb="00004B87"/>
        <bgColor rgb="00004B87"/>
      </patternFill>
    </fill>
  </fills>
  <borders count="5">
    <border>
      <left/>
      <right/>
      <top/>
      <bottom/>
      <diagonal/>
    </border>
    <border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2" pivotButton="0" quotePrefix="0" xfId="0"/>
    <xf numFmtId="0" fontId="0" fillId="0" borderId="2" pivotButton="0" quotePrefix="0" xfId="0"/>
    <xf numFmtId="0" fontId="0" fillId="4" borderId="2" pivotButton="0" quotePrefix="0" xfId="0"/>
    <xf numFmtId="0" fontId="0" fillId="5" borderId="2" pivotButton="0" quotePrefix="0" xfId="0"/>
    <xf numFmtId="0" fontId="5" fillId="0" borderId="3" pivotButton="0" quotePrefix="0" xfId="0"/>
    <xf numFmtId="0" fontId="6" fillId="4" borderId="3" pivotButton="0" quotePrefix="0" xfId="0"/>
    <xf numFmtId="0" fontId="5" fillId="4" borderId="3" pivotButton="0" quotePrefix="0" xfId="0"/>
    <xf numFmtId="164" fontId="0" fillId="3" borderId="2" pivotButton="0" quotePrefix="0" xfId="0"/>
    <xf numFmtId="164" fontId="0" fillId="0" borderId="2" pivotButton="0" quotePrefix="0" xfId="0"/>
    <xf numFmtId="164" fontId="5" fillId="4" borderId="3" pivotButton="0" quotePrefix="0" xfId="0"/>
    <xf numFmtId="164" fontId="6" fillId="4" borderId="3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9" fillId="0" borderId="4" pivotButton="0" quotePrefix="0" xfId="0"/>
    <xf numFmtId="0" fontId="9" fillId="3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9" fillId="3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103" customWidth="1" min="2" max="2"/>
    <col width="77" customWidth="1" min="3" max="3"/>
    <col width="47" customWidth="1" min="4" max="4"/>
    <col width="50" customWidth="1" min="5" max="5"/>
  </cols>
  <sheetData>
    <row r="1">
      <c r="A1" s="1" t="inlineStr">
        <is>
          <t>PROYECTO CUBESAT UD34 - SUBSISTEMA EPS (POWER SYSTEM)</t>
        </is>
      </c>
    </row>
    <row r="2">
      <c r="A2" s="2" t="inlineStr">
        <is>
          <t>Objetivos, Hitos de Diseño, Parámetros Eléctricos y Ubicación Espacial 1U</t>
        </is>
      </c>
    </row>
    <row r="4">
      <c r="A4" s="3" t="inlineStr">
        <is>
          <t>1. OBJETIVOS Y HITOS DEL EPS</t>
        </is>
      </c>
    </row>
    <row r="5">
      <c r="A5" s="4" t="inlineStr">
        <is>
          <t>Categoría</t>
        </is>
      </c>
      <c r="B5" s="4" t="inlineStr">
        <is>
          <t>Descripción Detallada / Hito Operativo</t>
        </is>
      </c>
      <c r="C5" s="4" t="inlineStr">
        <is>
          <t>Métrica / Criterio de Cumplimiento</t>
        </is>
      </c>
      <c r="D5" s="4" t="inlineStr">
        <is>
          <t>Estado / Norma</t>
        </is>
      </c>
    </row>
    <row r="6">
      <c r="A6" s="5" t="inlineStr">
        <is>
          <t>Objetivo Primario</t>
        </is>
      </c>
      <c r="B6" s="5" t="inlineStr">
        <is>
          <t>Generar, almacenar y distribuir potencia limpia a la plataforma 1U en todos los modos orbitales</t>
        </is>
      </c>
      <c r="C6" s="5" t="inlineStr">
        <is>
          <t>Voltajes regulados (+3.3V, +5.0V) y V_BAT sin interrupción</t>
        </is>
      </c>
      <c r="D6" s="5" t="inlineStr">
        <is>
          <t>Cumplido (ECSS-E-ST-20C)</t>
        </is>
      </c>
    </row>
    <row r="7">
      <c r="A7" s="6" t="inlineStr">
        <is>
          <t>Objetivo Secundario</t>
        </is>
      </c>
      <c r="B7" s="6" t="inlineStr">
        <is>
          <t>Proteger las baterías Li-Ion contra sobrecarga, sobredescarga, cortocircuito y temperaturas extremas</t>
        </is>
      </c>
      <c r="C7" s="6" t="inlineStr">
        <is>
          <t>DoD &lt; 5% por órbita, corte de protección PCM &lt; 6.0V, calentador autónomo</t>
        </is>
      </c>
      <c r="D7" s="6" t="inlineStr">
        <is>
          <t>Cumplido (CDS Rev 14.1)</t>
        </is>
      </c>
    </row>
    <row r="8">
      <c r="A8" s="5" t="inlineStr">
        <is>
          <t>Hito de Generación</t>
        </is>
      </c>
      <c r="B8" s="5" t="inlineStr">
        <is>
          <t>Captar energía solar en 5 caras externas del chasis 1U mediante celdas InGaP/GaAs/Ge</t>
        </is>
      </c>
      <c r="C8" s="5" t="inlineStr">
        <is>
          <t>Potencia pico &gt; 2.8 W en fase de Sol (55 min Sol / 35 min Eclipse)</t>
        </is>
      </c>
      <c r="D8" s="5" t="inlineStr">
        <is>
          <t>Cumplido (SOA Power 2026)</t>
        </is>
      </c>
    </row>
    <row r="9">
      <c r="A9" s="6" t="inlineStr">
        <is>
          <t>Hito de Distribución</t>
        </is>
      </c>
      <c r="B9" s="6" t="inlineStr">
        <is>
          <t>Implementar conmutadores LCL con protección de sobrecorriente para cada subsistema</t>
        </is>
      </c>
      <c r="C9" s="6" t="inlineStr">
        <is>
          <t>Desconexión LCL &lt; 10 µs ante SEL/cortocircuito con auto-reset</t>
        </is>
      </c>
      <c r="D9" s="6" t="inlineStr">
        <is>
          <t>Cumplido (ECSS-E-ST-20-07C)</t>
        </is>
      </c>
    </row>
    <row r="10">
      <c r="A10" s="5" t="inlineStr">
        <is>
          <t>Hito de Seguridad CDS</t>
        </is>
      </c>
      <c r="B10" s="5" t="inlineStr">
        <is>
          <t>Cumplir con los inhibidores de despliegue y corte RBF exigidos para el lanzamiento</t>
        </is>
      </c>
      <c r="C10" s="5" t="inlineStr">
        <is>
          <t>3 interruptores mecánicos de despliegue + 1 PIN Remove Before Flight (RBF)</t>
        </is>
      </c>
      <c r="D10" s="5" t="inlineStr">
        <is>
          <t>Cumplido (CDS Rev 14.1 §2.3)</t>
        </is>
      </c>
    </row>
    <row r="11">
      <c r="A11" s="6" t="inlineStr">
        <is>
          <t>Hito de Espacio 1U</t>
        </is>
      </c>
      <c r="B11" s="6" t="inlineStr">
        <is>
          <t>Acomodar la tarjeta EPS y el pack de baterías 2S1P en el sobre volumétrico sin interferencias</t>
        </is>
      </c>
      <c r="C11" s="6" t="inlineStr">
        <is>
          <t>Módulo EPS + Batería ocupa 22.0 mm en el eje Z (22.0% del volumen 1U)</t>
        </is>
      </c>
      <c r="D11" s="6" t="inlineStr">
        <is>
          <t>Verificado en CAD/Stack</t>
        </is>
      </c>
    </row>
    <row r="13">
      <c r="A13" s="3" t="inlineStr">
        <is>
          <t>2. PARÁMETROS TÉCNICOS CLAVE Y UBICACIÓN FÍSICA EN CUBESAT 1U</t>
        </is>
      </c>
    </row>
    <row r="14">
      <c r="A14" s="4" t="inlineStr">
        <is>
          <t>Parámetro Técnico</t>
        </is>
      </c>
      <c r="B14" s="4" t="inlineStr">
        <is>
          <t>Valor / Especificación</t>
        </is>
      </c>
      <c r="C14" s="4" t="inlineStr">
        <is>
          <t>Unidades</t>
        </is>
      </c>
      <c r="D14" s="4" t="inlineStr">
        <is>
          <t>Ubicación / Físico en CubeSat 1U</t>
        </is>
      </c>
      <c r="E14" s="4" t="inlineStr">
        <is>
          <t>Notas / Referencia</t>
        </is>
      </c>
    </row>
    <row r="15">
      <c r="A15" s="6" t="inlineStr">
        <is>
          <t>Arquitectura de Potencia</t>
        </is>
      </c>
      <c r="B15" s="7" t="inlineStr">
        <is>
          <t>Detached / PMAD Centralizado con MPPT</t>
        </is>
      </c>
      <c r="C15" s="7" t="inlineStr">
        <is>
          <t>N/A</t>
        </is>
      </c>
      <c r="D15" s="6" t="inlineStr">
        <is>
          <t>PCB 3 (Tarjeta EPS apilable PC/104)</t>
        </is>
      </c>
      <c r="E15" s="6" t="inlineStr">
        <is>
          <t>Topología recomendada NASA SOA</t>
        </is>
      </c>
    </row>
    <row r="16">
      <c r="A16" s="5" t="inlineStr">
        <is>
          <t>Celdas Solares</t>
        </is>
      </c>
      <c r="B16" s="7" t="inlineStr">
        <is>
          <t>Triple Juntura InGaP/GaAs/Ge (Eficiencia 30%)</t>
        </is>
      </c>
      <c r="C16" s="7" t="inlineStr">
        <is>
          <t>%</t>
        </is>
      </c>
      <c r="D16" s="5" t="inlineStr">
        <is>
          <t>5 Caras Externas (+X, -X, +Y, -Y, +Z)</t>
        </is>
      </c>
      <c r="E16" s="5" t="inlineStr">
        <is>
          <t>2 celdas en serie por panel 1U</t>
        </is>
      </c>
    </row>
    <row r="17">
      <c r="A17" s="6" t="inlineStr">
        <is>
          <t>Paneles Solares 1U (x5)</t>
        </is>
      </c>
      <c r="B17" s="7" t="inlineStr">
        <is>
          <t>82.6 mm x 98.0 mm x 1.5 mm</t>
        </is>
      </c>
      <c r="C17" s="7" t="inlineStr">
        <is>
          <t>mm</t>
        </is>
      </c>
      <c r="D17" s="6" t="inlineStr">
        <is>
          <t>Adheridos estructuralmente a las caras 1U</t>
        </is>
      </c>
      <c r="E17" s="6" t="inlineStr">
        <is>
          <t>Cara Nadir (-Z) reservada para Payload</t>
        </is>
      </c>
    </row>
    <row r="18">
      <c r="A18" s="5" t="inlineStr">
        <is>
          <t>Potencia Solar Generada</t>
        </is>
      </c>
      <c r="B18" s="7" t="inlineStr">
        <is>
          <t>2.85 W (Promedio Sol) / 3.20 W (Pico Directo)</t>
        </is>
      </c>
      <c r="C18" s="7" t="inlineStr">
        <is>
          <t>W</t>
        </is>
      </c>
      <c r="D18" s="5" t="inlineStr">
        <is>
          <t>Colectada en 5 caras durante 55 min Sol</t>
        </is>
      </c>
      <c r="E18" s="5" t="inlineStr">
        <is>
          <t>Suficiente para consumo continuo + carga</t>
        </is>
      </c>
    </row>
    <row r="19">
      <c r="A19" s="6" t="inlineStr">
        <is>
          <t>Química de Batería</t>
        </is>
      </c>
      <c r="B19" s="7" t="inlineStr">
        <is>
          <t>Li-Ion 2S1P (Panasonic NCR18650GA COTS)</t>
        </is>
      </c>
      <c r="C19" s="7" t="inlineStr">
        <is>
          <t>N/A</t>
        </is>
      </c>
      <c r="D19" s="6" t="inlineStr">
        <is>
          <t>Módulo Piggyback sobre PCB 3 EPS</t>
        </is>
      </c>
      <c r="E19" s="6" t="inlineStr">
        <is>
          <t>2 celdas 18650 en serie con PCM/Heater</t>
        </is>
      </c>
    </row>
    <row r="20">
      <c r="A20" s="5" t="inlineStr">
        <is>
          <t>Dimensiones Pack Batería</t>
        </is>
      </c>
      <c r="B20" s="7" t="inlineStr">
        <is>
          <t>37.0 mm (W) x 66.0 mm (L) x 19.0 mm (H)</t>
        </is>
      </c>
      <c r="C20" s="7" t="inlineStr">
        <is>
          <t>mm</t>
        </is>
      </c>
      <c r="D20" s="5" t="inlineStr">
        <is>
          <t>Centro geométrico interno en la PCB 3</t>
        </is>
      </c>
      <c r="E20" s="5" t="inlineStr">
        <is>
          <t>Mantenimiento térmico controlado</t>
        </is>
      </c>
    </row>
    <row r="21">
      <c r="A21" s="6" t="inlineStr">
        <is>
          <t>Capacidad de Batería</t>
        </is>
      </c>
      <c r="B21" s="7" t="inlineStr">
        <is>
          <t>8.8 Wh (3400 mAh @ 7.2V Nom / 8.4V Max)</t>
        </is>
      </c>
      <c r="C21" s="7" t="inlineStr">
        <is>
          <t>Wh</t>
        </is>
      </c>
      <c r="D21" s="6" t="inlineStr">
        <is>
          <t>Almacenamiento interno no volátil</t>
        </is>
      </c>
      <c r="E21" s="6" t="inlineStr">
        <is>
          <t>Sostiene 35 min de eclipse sin degradación</t>
        </is>
      </c>
    </row>
    <row r="22">
      <c r="A22" s="5" t="inlineStr">
        <is>
          <t>Consumo Promedio Órbita</t>
        </is>
      </c>
      <c r="B22" s="7" t="inlineStr">
        <is>
          <t>0.98 W (Nominal) / 1.85 W (Peak Captura/Tx)</t>
        </is>
      </c>
      <c r="C22" s="7" t="inlineStr">
        <is>
          <t>W</t>
        </is>
      </c>
      <c r="D22" s="5" t="inlineStr">
        <is>
          <t>Distribuido en los 5 subsistemas</t>
        </is>
      </c>
      <c r="E22" s="5" t="inlineStr">
        <is>
          <t>Energía total/órbita = 1.85 Wh</t>
        </is>
      </c>
    </row>
    <row r="23">
      <c r="A23" s="6" t="inlineStr">
        <is>
          <t>Profundidad Descarga (DoD)</t>
        </is>
      </c>
      <c r="B23" s="7" t="inlineStr">
        <is>
          <t>4.4% por órbita (Eclipse 35 min)</t>
        </is>
      </c>
      <c r="C23" s="7" t="inlineStr">
        <is>
          <t>%</t>
        </is>
      </c>
      <c r="D23" s="6" t="inlineStr">
        <is>
          <t>Evaluado sobre capacidad útil 8.8 Wh</t>
        </is>
      </c>
      <c r="E23" s="6" t="inlineStr">
        <is>
          <t>Garantiza &gt; 5,500 ciclos de vida en LEO</t>
        </is>
      </c>
    </row>
    <row r="24">
      <c r="A24" s="5" t="inlineStr">
        <is>
          <t>Rieles de Voltaje Reg.</t>
        </is>
      </c>
      <c r="B24" s="7" t="inlineStr">
        <is>
          <t>+3.3V (3A), +5.0V (3A), V_BAT (6.0V-8.4V)</t>
        </is>
      </c>
      <c r="C24" s="7" t="inlineStr">
        <is>
          <t>V</t>
        </is>
      </c>
      <c r="D24" s="5" t="inlineStr">
        <is>
          <t>Bus de Potencia en Conector PC/104</t>
        </is>
      </c>
      <c r="E24" s="5" t="inlineStr">
        <is>
          <t>Reguladores Buck de alta eficiencia (&gt;92%)</t>
        </is>
      </c>
    </row>
    <row r="25">
      <c r="A25" s="6" t="inlineStr">
        <is>
          <t>Protección LCL (x5)</t>
        </is>
      </c>
      <c r="B25" s="7" t="inlineStr">
        <is>
          <t>Desconexión por sobrecorriente &lt; 10 µs</t>
        </is>
      </c>
      <c r="C25" s="7" t="inlineStr">
        <is>
          <t>µs</t>
        </is>
      </c>
      <c r="D25" s="6" t="inlineStr">
        <is>
          <t>Distribución PMAD en PCB 3 EPS</t>
        </is>
      </c>
      <c r="E25" s="6" t="inlineStr">
        <is>
          <t>Protege individualmente a OBC, COMMS, ADCS, DPU</t>
        </is>
      </c>
    </row>
    <row r="26">
      <c r="A26" s="5" t="inlineStr">
        <is>
          <t>Inhibidores CDS Rev 14.1</t>
        </is>
      </c>
      <c r="B26" s="7" t="inlineStr">
        <is>
          <t>3x Deployment Switches + 1x RBF Pin</t>
        </is>
      </c>
      <c r="C26" s="7" t="inlineStr">
        <is>
          <t>N/A</t>
        </is>
      </c>
      <c r="D26" s="5" t="inlineStr">
        <is>
          <t>Rieles de contacto en estructura de aluminio</t>
        </is>
      </c>
      <c r="E26" s="5" t="inlineStr">
        <is>
          <t>Desconexión total de batería hasta eyección</t>
        </is>
      </c>
    </row>
    <row r="27">
      <c r="A27" s="6" t="inlineStr">
        <is>
          <t>Masa Tarjeta EPS + Bat</t>
        </is>
      </c>
      <c r="B27" s="7" t="inlineStr">
        <is>
          <t>185.0 g (Batería 95g + PCB EPS 90g)</t>
        </is>
      </c>
      <c r="C27" s="7" t="inlineStr">
        <is>
          <t>g</t>
        </is>
      </c>
      <c r="D27" s="6" t="inlineStr">
        <is>
          <t>Posición inferior en la pila PC/104</t>
        </is>
      </c>
      <c r="E27" s="6" t="inlineStr">
        <is>
          <t>Representa el 22.8% de la masa total de 810g</t>
        </is>
      </c>
    </row>
    <row r="28">
      <c r="A28" s="5" t="inlineStr">
        <is>
          <t>Altura Z en CubeSat 1U</t>
        </is>
      </c>
      <c r="B28" s="7" t="inlineStr">
        <is>
          <t>22.0 mm (22.0% del eje Z total de 100 mm)</t>
        </is>
      </c>
      <c r="C28" s="7" t="inlineStr">
        <is>
          <t>mm</t>
        </is>
      </c>
      <c r="D28" s="5" t="inlineStr">
        <is>
          <t>Tercer nivel de la pila de tarjetas</t>
        </is>
      </c>
      <c r="E28" s="5" t="inlineStr">
        <is>
          <t>Espacio libre restante en Z = 3.9 mm (3.9%)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34" customWidth="1" min="2" max="2"/>
    <col width="31" customWidth="1" min="3" max="3"/>
    <col width="25" customWidth="1" min="4" max="4"/>
    <col width="23" customWidth="1" min="5" max="5"/>
    <col width="20" customWidth="1" min="6" max="6"/>
    <col width="30" customWidth="1" min="7" max="7"/>
    <col width="47" customWidth="1" min="8" max="8"/>
  </cols>
  <sheetData>
    <row r="1">
      <c r="A1" s="1" t="inlineStr">
        <is>
          <t>LISTADO A: COMPONENTES PRINCIPALES E INTEGRADOS ACTIVOS (EPS)</t>
        </is>
      </c>
    </row>
    <row r="3">
      <c r="A3" s="4" t="inlineStr">
        <is>
          <t>Ítem</t>
        </is>
      </c>
      <c r="B3" s="4" t="inlineStr">
        <is>
          <t>Función Principal</t>
        </is>
      </c>
      <c r="C3" s="4" t="inlineStr">
        <is>
          <t>Referencia Exacta COTS</t>
        </is>
      </c>
      <c r="D3" s="4" t="inlineStr">
        <is>
          <t>Fabricante</t>
        </is>
      </c>
      <c r="E3" s="4" t="inlineStr">
        <is>
          <t>Encapsulado / Pkg</t>
        </is>
      </c>
      <c r="F3" s="4" t="inlineStr">
        <is>
          <t>Interfaz Elec.</t>
        </is>
      </c>
      <c r="G3" s="4" t="inlineStr">
        <is>
          <t>Requisito Cubierto</t>
        </is>
      </c>
      <c r="H3" s="4" t="inlineStr">
        <is>
          <t>Patrimonio de Vuelo / Referencia NASA</t>
        </is>
      </c>
    </row>
    <row r="4">
      <c r="A4" s="5" t="n">
        <v>1</v>
      </c>
      <c r="B4" s="5" t="inlineStr">
        <is>
          <t>Celdas Solares fotovoltaicas</t>
        </is>
      </c>
      <c r="C4" s="8" t="inlineStr">
        <is>
          <t>Spectrolab TASC / SolAero TJ</t>
        </is>
      </c>
      <c r="D4" s="5" t="inlineStr">
        <is>
          <t>Spectrolab / SolAero</t>
        </is>
      </c>
      <c r="E4" s="5" t="inlineStr">
        <is>
          <t>裸片 / Custom 1U PCB</t>
        </is>
      </c>
      <c r="F4" s="5" t="inlineStr">
        <is>
          <t>Directo a MPPT</t>
        </is>
      </c>
      <c r="G4" s="5" t="inlineStr">
        <is>
          <t>RF-EPS-01 (Generación)</t>
        </is>
      </c>
      <c r="H4" s="5" t="inlineStr">
        <is>
          <t>Uso estándar en CubeSats 1U (SOA Power)</t>
        </is>
      </c>
    </row>
    <row r="5">
      <c r="A5" s="6" t="n">
        <v>2</v>
      </c>
      <c r="B5" s="6" t="inlineStr">
        <is>
          <t>Celdas de Batería Li-Ion (x2)</t>
        </is>
      </c>
      <c r="C5" s="8" t="inlineStr">
        <is>
          <t>NCR18650GA (3.6V 3400mAh)</t>
        </is>
      </c>
      <c r="D5" s="6" t="inlineStr">
        <is>
          <t>Panasonic</t>
        </is>
      </c>
      <c r="E5" s="6" t="inlineStr">
        <is>
          <t>18650 Cilíndrico</t>
        </is>
      </c>
      <c r="F5" s="6" t="inlineStr">
        <is>
          <t>Serie 2S1P (7.2V)</t>
        </is>
      </c>
      <c r="G5" s="6" t="inlineStr">
        <is>
          <t>RF-EPS-02 (Almacenamiento)</t>
        </is>
      </c>
      <c r="H5" s="6" t="inlineStr">
        <is>
          <t>Amplio patrimonio COTS en LEO (NASA SOA)</t>
        </is>
      </c>
    </row>
    <row r="6">
      <c r="A6" s="5" t="n">
        <v>3</v>
      </c>
      <c r="B6" s="5" t="inlineStr">
        <is>
          <t>Controlador MPPT Solar (x4)</t>
        </is>
      </c>
      <c r="C6" s="8" t="inlineStr">
        <is>
          <t>LT3652 / BQ25713</t>
        </is>
      </c>
      <c r="D6" s="5" t="inlineStr">
        <is>
          <t>Analog Devices / TI</t>
        </is>
      </c>
      <c r="E6" s="5" t="inlineStr">
        <is>
          <t>QFN-12 / QFN-32</t>
        </is>
      </c>
      <c r="F6" s="5" t="inlineStr">
        <is>
          <t>Analog / I2C</t>
        </is>
      </c>
      <c r="G6" s="5" t="inlineStr">
        <is>
          <t>RF-EPS-01 (Max Power)</t>
        </is>
      </c>
      <c r="H6" s="5" t="inlineStr">
        <is>
          <t>Nanosatélites universitarios y COTS EPS</t>
        </is>
      </c>
    </row>
    <row r="7">
      <c r="A7" s="6" t="n">
        <v>4</v>
      </c>
      <c r="B7" s="6" t="inlineStr">
        <is>
          <t>Cargador y PCM Batería</t>
        </is>
      </c>
      <c r="C7" s="8" t="inlineStr">
        <is>
          <t>BQ24725ARGRR</t>
        </is>
      </c>
      <c r="D7" s="6" t="inlineStr">
        <is>
          <t>Texas Instruments</t>
        </is>
      </c>
      <c r="E7" s="6" t="inlineStr">
        <is>
          <t>VQFN-20</t>
        </is>
      </c>
      <c r="F7" s="6" t="inlineStr">
        <is>
          <t>SMBus / I2C</t>
        </is>
      </c>
      <c r="G7" s="6" t="inlineStr">
        <is>
          <t>RF-EPS-02 (Protección PCM)</t>
        </is>
      </c>
      <c r="H7" s="6" t="inlineStr">
        <is>
          <t>Sistemas de gestión de energía en CubeSats</t>
        </is>
      </c>
    </row>
    <row r="8">
      <c r="A8" s="5" t="n">
        <v>5</v>
      </c>
      <c r="B8" s="5" t="inlineStr">
        <is>
          <t>Regulador Buck +3.3V (3A)</t>
        </is>
      </c>
      <c r="C8" s="8" t="inlineStr">
        <is>
          <t>TPS62130RGTT</t>
        </is>
      </c>
      <c r="D8" s="5" t="inlineStr">
        <is>
          <t>Texas Instruments</t>
        </is>
      </c>
      <c r="E8" s="5" t="inlineStr">
        <is>
          <t>VQFN-16</t>
        </is>
      </c>
      <c r="F8" s="5" t="inlineStr">
        <is>
          <t>PWM / Power Bus</t>
        </is>
      </c>
      <c r="G8" s="5" t="inlineStr">
        <is>
          <t>RF-EPS-03 (Regulación 3.3V)</t>
        </is>
      </c>
      <c r="H8" s="5" t="inlineStr">
        <is>
          <t>Ampliamente usado en aviónica SmallSat</t>
        </is>
      </c>
    </row>
    <row r="9">
      <c r="A9" s="6" t="n">
        <v>6</v>
      </c>
      <c r="B9" s="6" t="inlineStr">
        <is>
          <t>Regulador Buck +5.0V (3A)</t>
        </is>
      </c>
      <c r="C9" s="8" t="inlineStr">
        <is>
          <t>TPS62130RGTT</t>
        </is>
      </c>
      <c r="D9" s="6" t="inlineStr">
        <is>
          <t>Texas Instruments</t>
        </is>
      </c>
      <c r="E9" s="6" t="inlineStr">
        <is>
          <t>VQFN-16</t>
        </is>
      </c>
      <c r="F9" s="6" t="inlineStr">
        <is>
          <t>PWM / Power Bus</t>
        </is>
      </c>
      <c r="G9" s="6" t="inlineStr">
        <is>
          <t>RF-EPS-03 (Regulación 5.0V)</t>
        </is>
      </c>
      <c r="H9" s="6" t="inlineStr">
        <is>
          <t>Ampliamente usado en aviónica SmallSat</t>
        </is>
      </c>
    </row>
    <row r="10">
      <c r="A10" s="5" t="n">
        <v>7</v>
      </c>
      <c r="B10" s="5" t="inlineStr">
        <is>
          <t>Conmutadores LCL (x5)</t>
        </is>
      </c>
      <c r="C10" s="8" t="inlineStr">
        <is>
          <t>TPS2553DBVR</t>
        </is>
      </c>
      <c r="D10" s="5" t="inlineStr">
        <is>
          <t>Texas Instruments</t>
        </is>
      </c>
      <c r="E10" s="5" t="inlineStr">
        <is>
          <t>SOT-23-6</t>
        </is>
      </c>
      <c r="F10" s="5" t="inlineStr">
        <is>
          <t>GPIO / Fault Flag</t>
        </is>
      </c>
      <c r="G10" s="5" t="inlineStr">
        <is>
          <t>RF-EPS-04 (Protección LCL)</t>
        </is>
      </c>
      <c r="H10" s="5" t="inlineStr">
        <is>
          <t>Protección Latching Current Limit en LEO</t>
        </is>
      </c>
    </row>
    <row r="11">
      <c r="A11" s="6" t="n">
        <v>8</v>
      </c>
      <c r="B11" s="6" t="inlineStr">
        <is>
          <t>Microcontrolador Telemetría EPS</t>
        </is>
      </c>
      <c r="C11" s="8" t="inlineStr">
        <is>
          <t>MSP430FR5969IRGZT / STM32L4</t>
        </is>
      </c>
      <c r="D11" s="6" t="inlineStr">
        <is>
          <t>Texas Instruments / ST</t>
        </is>
      </c>
      <c r="E11" s="6" t="inlineStr">
        <is>
          <t>VQFN-48</t>
        </is>
      </c>
      <c r="F11" s="6" t="inlineStr">
        <is>
          <t>I2C / CAN Bus</t>
        </is>
      </c>
      <c r="G11" s="6" t="inlineStr">
        <is>
          <t>RF-EPS-05 (Monitoreo ADC)</t>
        </is>
      </c>
      <c r="H11" s="6" t="inlineStr">
        <is>
          <t>Ultra-low power MCU con FRAM inmune a SEL</t>
        </is>
      </c>
    </row>
    <row r="12">
      <c r="A12" s="5" t="n">
        <v>9</v>
      </c>
      <c r="B12" s="5" t="inlineStr">
        <is>
          <t>Calentador de Batería (Heater)</t>
        </is>
      </c>
      <c r="C12" s="8" t="inlineStr">
        <is>
          <t>Minco Kapton Heater + NTC</t>
        </is>
      </c>
      <c r="D12" s="5" t="inlineStr">
        <is>
          <t>Minco / Custom</t>
        </is>
      </c>
      <c r="E12" s="5" t="inlineStr">
        <is>
          <t>Kapton Film Patch</t>
        </is>
      </c>
      <c r="F12" s="5" t="inlineStr">
        <is>
          <t>GPIO Control</t>
        </is>
      </c>
      <c r="G12" s="5" t="inlineStr">
        <is>
          <t>RA-EPS-02 (Térmico Batería)</t>
        </is>
      </c>
      <c r="H12" s="5" t="inlineStr">
        <is>
          <t>Mantenimiento térmico &gt; 0°C en eclipse</t>
        </is>
      </c>
    </row>
    <row r="13">
      <c r="A13" s="6" t="n">
        <v>10</v>
      </c>
      <c r="B13" s="6" t="inlineStr">
        <is>
          <t>Inhibidores Mecánicos CDS (x3)</t>
        </is>
      </c>
      <c r="C13" s="8" t="inlineStr">
        <is>
          <t>Subminiature Microswitch</t>
        </is>
      </c>
      <c r="D13" s="6" t="inlineStr">
        <is>
          <t>C&amp;K / Honeywell</t>
        </is>
      </c>
      <c r="E13" s="6" t="inlineStr">
        <is>
          <t>Custom Chassis Mount</t>
        </is>
      </c>
      <c r="F13" s="6" t="inlineStr">
        <is>
          <t>Mecánico N.C.</t>
        </is>
      </c>
      <c r="G13" s="6" t="inlineStr">
        <is>
          <t>RN-EPS-01 (CDS Rev 14.1)</t>
        </is>
      </c>
      <c r="H13" s="6" t="inlineStr">
        <is>
          <t>Requisito obligatorio de eyección de CubeSat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38" customWidth="1" min="2" max="2"/>
    <col width="28" customWidth="1" min="3" max="3"/>
    <col width="19" customWidth="1" min="4" max="4"/>
    <col width="23" customWidth="1" min="5" max="5"/>
    <col width="35" customWidth="1" min="6" max="6"/>
    <col width="60" customWidth="1" min="7" max="7"/>
  </cols>
  <sheetData>
    <row r="1">
      <c r="A1" s="1" t="inlineStr">
        <is>
          <t>LISTADO B: COMPONENTES PASIVOS, DE PROTECCIÓN Y DE INTERCONEXIÓN (EPS)</t>
        </is>
      </c>
    </row>
    <row r="3">
      <c r="A3" s="4" t="inlineStr">
        <is>
          <t>Ítem</t>
        </is>
      </c>
      <c r="B3" s="4" t="inlineStr">
        <is>
          <t>Función / Ubicación</t>
        </is>
      </c>
      <c r="C3" s="4" t="inlineStr">
        <is>
          <t>Referencia Exacta COTS</t>
        </is>
      </c>
      <c r="D3" s="4" t="inlineStr">
        <is>
          <t>Fabricante</t>
        </is>
      </c>
      <c r="E3" s="4" t="inlineStr">
        <is>
          <t>Encapsulado</t>
        </is>
      </c>
      <c r="F3" s="4" t="inlineStr">
        <is>
          <t>Especificación Técnica / Valor</t>
        </is>
      </c>
      <c r="G3" s="4" t="inlineStr">
        <is>
          <t>Propósito en PCB / Interfaz</t>
        </is>
      </c>
    </row>
    <row r="4">
      <c r="A4" s="5" t="n">
        <v>1</v>
      </c>
      <c r="B4" s="5" t="inlineStr">
        <is>
          <t>Conector Bus Apilable PC/104</t>
        </is>
      </c>
      <c r="C4" s="8" t="inlineStr">
        <is>
          <t>ESQ-126-12-G-D</t>
        </is>
      </c>
      <c r="D4" s="5" t="inlineStr">
        <is>
          <t>Samtec</t>
        </is>
      </c>
      <c r="E4" s="5" t="inlineStr">
        <is>
          <t>Through-Hole 52-pin</t>
        </is>
      </c>
      <c r="F4" s="5" t="inlineStr">
        <is>
          <t>Gold Plated 2.54mm pitch</t>
        </is>
      </c>
      <c r="G4" s="5" t="inlineStr">
        <is>
          <t>Distribución de potencia V_BAT, 5V, 3.3V y CAN Bus</t>
        </is>
      </c>
    </row>
    <row r="5">
      <c r="A5" s="6" t="n">
        <v>2</v>
      </c>
      <c r="B5" s="6" t="inlineStr">
        <is>
          <t>PIN Remove Before Flight (RBF)</t>
        </is>
      </c>
      <c r="C5" s="8" t="inlineStr">
        <is>
          <t>Custom Brass Pin / Switch</t>
        </is>
      </c>
      <c r="D5" s="6" t="inlineStr">
        <is>
          <t>Custom Aerospace</t>
        </is>
      </c>
      <c r="E5" s="6" t="inlineStr">
        <is>
          <t>Chassis Panel Mount</t>
        </is>
      </c>
      <c r="F5" s="6" t="inlineStr">
        <is>
          <t>Corte físico de línea de batería</t>
        </is>
      </c>
      <c r="G5" s="6" t="inlineStr">
        <is>
          <t>Mantiene la batería desconectada hasta el lanzamiento</t>
        </is>
      </c>
    </row>
    <row r="6">
      <c r="A6" s="5" t="n">
        <v>3</v>
      </c>
      <c r="B6" s="5" t="inlineStr">
        <is>
          <t>Diodo TVS Protección Entrada Solar</t>
        </is>
      </c>
      <c r="C6" s="8" t="inlineStr">
        <is>
          <t>SMAJ5.0A-E3/61</t>
        </is>
      </c>
      <c r="D6" s="5" t="inlineStr">
        <is>
          <t>Vishay</t>
        </is>
      </c>
      <c r="E6" s="5" t="inlineStr">
        <is>
          <t>DO-214AC (SMA)</t>
        </is>
      </c>
      <c r="F6" s="5" t="inlineStr">
        <is>
          <t>Vrwm = 5.0V, Ppp = 400W</t>
        </is>
      </c>
      <c r="G6" s="5" t="inlineStr">
        <is>
          <t>Protección contra transitorios e inducción ESD en paneles</t>
        </is>
      </c>
    </row>
    <row r="7">
      <c r="A7" s="6" t="n">
        <v>4</v>
      </c>
      <c r="B7" s="6" t="inlineStr">
        <is>
          <t>Diodo Schottky Bloqueo Solar (x5)</t>
        </is>
      </c>
      <c r="C7" s="8" t="inlineStr">
        <is>
          <t>MBR130T1G</t>
        </is>
      </c>
      <c r="D7" s="6" t="inlineStr">
        <is>
          <t>onsemi</t>
        </is>
      </c>
      <c r="E7" s="6" t="inlineStr">
        <is>
          <t>SOD-123</t>
        </is>
      </c>
      <c r="F7" s="6" t="inlineStr">
        <is>
          <t>Vrm = 30V, If = 1A, Vf = 0.38V</t>
        </is>
      </c>
      <c r="G7" s="6" t="inlineStr">
        <is>
          <t>Evita que la batería descargue sobre paneles en sombra</t>
        </is>
      </c>
    </row>
    <row r="8">
      <c r="A8" s="5" t="n">
        <v>5</v>
      </c>
      <c r="B8" s="5" t="inlineStr">
        <is>
          <t>Inductores de Potencia Buck (x2)</t>
        </is>
      </c>
      <c r="C8" s="8" t="inlineStr">
        <is>
          <t>LPS6235-223MRC</t>
        </is>
      </c>
      <c r="D8" s="5" t="inlineStr">
        <is>
          <t>Coilcraft</t>
        </is>
      </c>
      <c r="E8" s="5" t="inlineStr">
        <is>
          <t>6.0 x 6.0 mm SMD</t>
        </is>
      </c>
      <c r="F8" s="5" t="inlineStr">
        <is>
          <t>22 µH, Isat = 3.2A, DCR = 45mΩ</t>
        </is>
      </c>
      <c r="G8" s="5" t="inlineStr">
        <is>
          <t>Filtrado de energía de reguladores Buck TPS62130</t>
        </is>
      </c>
    </row>
    <row r="9">
      <c r="A9" s="6" t="n">
        <v>6</v>
      </c>
      <c r="B9" s="6" t="inlineStr">
        <is>
          <t>Shunt de Corriente Mapeo Solar (x5)</t>
        </is>
      </c>
      <c r="C9" s="8" t="inlineStr">
        <is>
          <t>WSLP0805R0100FEA</t>
        </is>
      </c>
      <c r="D9" s="6" t="inlineStr">
        <is>
          <t>Vishay Dale</t>
        </is>
      </c>
      <c r="E9" s="6" t="inlineStr">
        <is>
          <t>0805 Metal Strip</t>
        </is>
      </c>
      <c r="F9" s="6" t="inlineStr">
        <is>
          <t>10 mΩ, 1%, 1W</t>
        </is>
      </c>
      <c r="G9" s="6" t="inlineStr">
        <is>
          <t>Medición de corriente de paneles solares por ADC</t>
        </is>
      </c>
    </row>
    <row r="10">
      <c r="A10" s="5" t="n">
        <v>7</v>
      </c>
      <c r="B10" s="5" t="inlineStr">
        <is>
          <t>Capacitores de Tantalo Batería</t>
        </is>
      </c>
      <c r="C10" s="8" t="inlineStr">
        <is>
          <t>T495X107M016ATE100</t>
        </is>
      </c>
      <c r="D10" s="5" t="inlineStr">
        <is>
          <t>KEMET</t>
        </is>
      </c>
      <c r="E10" s="5" t="inlineStr">
        <is>
          <t>7343-43 (EIA Case X)</t>
        </is>
      </c>
      <c r="F10" s="5" t="inlineStr">
        <is>
          <t>100 µF, 16V, ESR = 100mΩ</t>
        </is>
      </c>
      <c r="G10" s="5" t="inlineStr">
        <is>
          <t>Filtro de baja ESR para picos de corriente de batería</t>
        </is>
      </c>
    </row>
    <row r="11">
      <c r="A11" s="6" t="n">
        <v>8</v>
      </c>
      <c r="B11" s="6" t="inlineStr">
        <is>
          <t>Sensors de Temperatura NTC (x3)</t>
        </is>
      </c>
      <c r="C11" s="8" t="inlineStr">
        <is>
          <t>NTHS0805N02N1002JE</t>
        </is>
      </c>
      <c r="D11" s="6" t="inlineStr">
        <is>
          <t>Vishay</t>
        </is>
      </c>
      <c r="E11" s="6" t="inlineStr">
        <is>
          <t>0805 SMD</t>
        </is>
      </c>
      <c r="F11" s="6" t="inlineStr">
        <is>
          <t>10 kΩ @ 25°C, Beta = 3977K</t>
        </is>
      </c>
      <c r="G11" s="6" t="inlineStr">
        <is>
          <t>Monitoreo térmico de batería y paneles solares</t>
        </is>
      </c>
    </row>
    <row r="12">
      <c r="A12" s="5" t="n">
        <v>9</v>
      </c>
      <c r="B12" s="5" t="inlineStr">
        <is>
          <t>Capacitores Desacoplamiento MLCC</t>
        </is>
      </c>
      <c r="C12" s="8" t="inlineStr">
        <is>
          <t>GRM188R61A106KE69D</t>
        </is>
      </c>
      <c r="D12" s="5" t="inlineStr">
        <is>
          <t>Murata</t>
        </is>
      </c>
      <c r="E12" s="5" t="inlineStr">
        <is>
          <t>0402 / 0603 X5R</t>
        </is>
      </c>
      <c r="F12" s="5" t="inlineStr">
        <is>
          <t>10 µF, 10V / 0.1 µF, 16V</t>
        </is>
      </c>
      <c r="G12" s="5" t="inlineStr">
        <is>
          <t>Filtrado HF en rieles de +3.3V, +5V y V_BAT</t>
        </is>
      </c>
    </row>
    <row r="13">
      <c r="A13" s="6" t="n">
        <v>10</v>
      </c>
      <c r="B13" s="6" t="inlineStr">
        <is>
          <t>Fusibles Reajustables PPTC (x3)</t>
        </is>
      </c>
      <c r="C13" s="8" t="inlineStr">
        <is>
          <t>0ZCG0110AF2C</t>
        </is>
      </c>
      <c r="D13" s="6" t="inlineStr">
        <is>
          <t>Bel Fuse</t>
        </is>
      </c>
      <c r="E13" s="6" t="inlineStr">
        <is>
          <t>1812 SMD</t>
        </is>
      </c>
      <c r="F13" s="6" t="inlineStr">
        <is>
          <t>Ihold = 1.1A, Vmax = 16V</t>
        </is>
      </c>
      <c r="G13" s="6" t="inlineStr">
        <is>
          <t>Protección redundante de respaldos contra cortocircuito</t>
        </is>
      </c>
    </row>
    <row r="14">
      <c r="A14" t="inlineStr">
        <is>
          <t>11</t>
        </is>
      </c>
      <c r="B14" t="inlineStr">
        <is>
          <t>Capacitores Desacoplamiento HF MLCC</t>
        </is>
      </c>
      <c r="C14" t="inlineStr">
        <is>
          <t>GRM155R71C104KA88D</t>
        </is>
      </c>
      <c r="D14" t="inlineStr">
        <is>
          <t>Murata</t>
        </is>
      </c>
      <c r="E14" t="inlineStr">
        <is>
          <t>0402 SMD</t>
        </is>
      </c>
      <c r="F14" t="inlineStr">
        <is>
          <t>100 nF, 16V, X7R, ±10%</t>
        </is>
      </c>
      <c r="G14" t="inlineStr">
        <is>
          <t>16</t>
        </is>
      </c>
      <c r="H14" t="inlineStr">
        <is>
          <t>Desacoplamiento local HF en MSP430, MPPT, Charger y LCLs</t>
        </is>
      </c>
      <c r="I14" t="inlineStr">
        <is>
          <t>ECSS-Q-ST-70-12C</t>
        </is>
      </c>
      <c r="J14" t="inlineStr">
        <is>
          <t>PCB 3 (Distribuidos)</t>
        </is>
      </c>
    </row>
    <row r="15">
      <c r="A15" t="inlineStr">
        <is>
          <t>12</t>
        </is>
      </c>
      <c r="B15" t="inlineStr">
        <is>
          <t>Resistencias Pull-Up / Divisores</t>
        </is>
      </c>
      <c r="C15" t="inlineStr">
        <is>
          <t>RC0402JR-0710KL</t>
        </is>
      </c>
      <c r="D15" t="inlineStr">
        <is>
          <t>Yageo</t>
        </is>
      </c>
      <c r="E15" t="inlineStr">
        <is>
          <t>0402 SMD</t>
        </is>
      </c>
      <c r="F15" t="inlineStr">
        <is>
          <t>10 kΩ, 5%, 0.063W</t>
        </is>
      </c>
      <c r="G15" t="inlineStr">
        <is>
          <t>10</t>
        </is>
      </c>
      <c r="H15" t="inlineStr">
        <is>
          <t>Pull-ups I2C/SMBus, banderas LCL FAULT_N y sensado NTC</t>
        </is>
      </c>
      <c r="I15" t="inlineStr">
        <is>
          <t>Estándar COTS</t>
        </is>
      </c>
      <c r="J15" t="inlineStr">
        <is>
          <t>PCB 3 (Cerca de ICs)</t>
        </is>
      </c>
    </row>
    <row r="16">
      <c r="A16" t="inlineStr">
        <is>
          <t>13</t>
        </is>
      </c>
      <c r="B16" t="inlineStr">
        <is>
          <t>Cuentas de Ferrita EMI Alimentación</t>
        </is>
      </c>
      <c r="C16" t="inlineStr">
        <is>
          <t>BLM18HE152SN1D</t>
        </is>
      </c>
      <c r="D16" t="inlineStr">
        <is>
          <t>Murata</t>
        </is>
      </c>
      <c r="E16" t="inlineStr">
        <is>
          <t>0603 SMD</t>
        </is>
      </c>
      <c r="F16" t="inlineStr">
        <is>
          <t>1.5 kΩ @ 100 MHz, 1.5A</t>
        </is>
      </c>
      <c r="G16" t="inlineStr">
        <is>
          <t>4</t>
        </is>
      </c>
      <c r="H16" t="inlineStr">
        <is>
          <t>Filtrado Pi de entrada a reguladores conmutados Buck</t>
        </is>
      </c>
      <c r="I16" t="inlineStr">
        <is>
          <t>ECSS-E-ST-20-07C EMC</t>
        </is>
      </c>
      <c r="J16" t="inlineStr">
        <is>
          <t>PCB 3 (Entrada Buck)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32" customWidth="1" min="3" max="3"/>
    <col width="80" customWidth="1" min="4" max="4"/>
    <col width="41" customWidth="1" min="5" max="5"/>
    <col width="22" customWidth="1" min="6" max="6"/>
  </cols>
  <sheetData>
    <row r="1">
      <c r="A1" s="1" t="inlineStr">
        <is>
          <t>MATRIZ DE REQUISITOS DEL SUBSISTEMA EPS</t>
        </is>
      </c>
    </row>
    <row r="3">
      <c r="A3" s="4" t="inlineStr">
        <is>
          <t>Código</t>
        </is>
      </c>
      <c r="B3" s="4" t="inlineStr">
        <is>
          <t>Tipo</t>
        </is>
      </c>
      <c r="C3" s="4" t="inlineStr">
        <is>
          <t>Nombre del Requisito</t>
        </is>
      </c>
      <c r="D3" s="4" t="inlineStr">
        <is>
          <t>Descripción Técnica Cuantitativa</t>
        </is>
      </c>
      <c r="E3" s="4" t="inlineStr">
        <is>
          <t>Criterio de Aceptación</t>
        </is>
      </c>
      <c r="F3" s="4" t="inlineStr">
        <is>
          <t>Método Verif.</t>
        </is>
      </c>
    </row>
    <row r="4">
      <c r="A4" s="8" t="inlineStr">
        <is>
          <t>RF-EPS-01</t>
        </is>
      </c>
      <c r="B4" s="5" t="inlineStr">
        <is>
          <t>Funcional</t>
        </is>
      </c>
      <c r="C4" s="5" t="inlineStr">
        <is>
          <t>Generación Solar Eficiente</t>
        </is>
      </c>
      <c r="D4" s="5" t="inlineStr">
        <is>
          <t>Colectar energía solar en 5 caras 1U usando celdas triple juntura</t>
        </is>
      </c>
      <c r="E4" s="5" t="inlineStr">
        <is>
          <t>Potencia promedio en Sol ≥ 2.85 W</t>
        </is>
      </c>
      <c r="F4" s="5" t="inlineStr">
        <is>
          <t>Inspección / Test</t>
        </is>
      </c>
    </row>
    <row r="5">
      <c r="A5" s="8" t="inlineStr">
        <is>
          <t>RF-EPS-02</t>
        </is>
      </c>
      <c r="B5" s="6" t="inlineStr">
        <is>
          <t>Funcional</t>
        </is>
      </c>
      <c r="C5" s="6" t="inlineStr">
        <is>
          <t>Almacenamiento y Protección</t>
        </is>
      </c>
      <c r="D5" s="6" t="inlineStr">
        <is>
          <t>Sostener cargas con pack Li-Ion 2S1P (8.8 Wh) con PCM autónomo</t>
        </is>
      </c>
      <c r="E5" s="6" t="inlineStr">
        <is>
          <t>DoD en eclipse &lt; 5.0%, corte V &lt; 6.0V</t>
        </is>
      </c>
      <c r="F5" s="6" t="inlineStr">
        <is>
          <t>Análisis / Test</t>
        </is>
      </c>
    </row>
    <row r="6">
      <c r="A6" s="8" t="inlineStr">
        <is>
          <t>RF-EPS-03</t>
        </is>
      </c>
      <c r="B6" s="5" t="inlineStr">
        <is>
          <t>Funcional</t>
        </is>
      </c>
      <c r="C6" s="5" t="inlineStr">
        <is>
          <t>Regulación de Potencia</t>
        </is>
      </c>
      <c r="D6" s="5" t="inlineStr">
        <is>
          <t>Proveer rieles +3.3V (3A) y +5.0V (3A) estabilizados a la plataforma</t>
        </is>
      </c>
      <c r="E6" s="5" t="inlineStr">
        <is>
          <t>Riple de voltaje &lt; 50 mVpp</t>
        </is>
      </c>
      <c r="F6" s="5" t="inlineStr">
        <is>
          <t>Test Electrónico</t>
        </is>
      </c>
    </row>
    <row r="7">
      <c r="A7" s="8" t="inlineStr">
        <is>
          <t>RF-EPS-04</t>
        </is>
      </c>
      <c r="B7" s="6" t="inlineStr">
        <is>
          <t>Funcional</t>
        </is>
      </c>
      <c r="C7" s="6" t="inlineStr">
        <is>
          <t>Protección LCL por Subsistema</t>
        </is>
      </c>
      <c r="D7" s="6" t="inlineStr">
        <is>
          <t>Desconectar automáticamente cualquier canal que supere su límite de corriente</t>
        </is>
      </c>
      <c r="E7" s="6" t="inlineStr">
        <is>
          <t>Tiempo de apague LCL &lt; 10 µs</t>
        </is>
      </c>
      <c r="F7" s="6" t="inlineStr">
        <is>
          <t>Test de Laboratorio</t>
        </is>
      </c>
    </row>
    <row r="8">
      <c r="A8" s="8" t="inlineStr">
        <is>
          <t>RF-EPS-05</t>
        </is>
      </c>
      <c r="B8" s="5" t="inlineStr">
        <is>
          <t>Funcional</t>
        </is>
      </c>
      <c r="C8" s="5" t="inlineStr">
        <is>
          <t>Telemetría de Potencia</t>
        </is>
      </c>
      <c r="D8" s="5" t="inlineStr">
        <is>
          <t>Medir voltajes, corrientes y temperaturas de paneles y baterías vía ADC</t>
        </is>
      </c>
      <c r="E8" s="5" t="inlineStr">
        <is>
          <t>Tasa de muestreo de telemetría ≥ 1 Hz</t>
        </is>
      </c>
      <c r="F8" s="5" t="inlineStr">
        <is>
          <t>Test de Software</t>
        </is>
      </c>
    </row>
    <row r="9">
      <c r="A9" s="8" t="inlineStr">
        <is>
          <t>RNF-EPS-01</t>
        </is>
      </c>
      <c r="B9" s="6" t="inlineStr">
        <is>
          <t>No Funcional</t>
        </is>
      </c>
      <c r="C9" s="6" t="inlineStr">
        <is>
          <t>Alta Eficiencia PMAD</t>
        </is>
      </c>
      <c r="D9" s="6" t="inlineStr">
        <is>
          <t>Los convertidores Buck y cargadores deben maximizar el rendimiento</t>
        </is>
      </c>
      <c r="E9" s="6" t="inlineStr">
        <is>
          <t>Eficiencia de conversión &gt; 90%</t>
        </is>
      </c>
      <c r="F9" s="6" t="inlineStr">
        <is>
          <t>Análisis / Medición</t>
        </is>
      </c>
    </row>
    <row r="10">
      <c r="A10" s="8" t="inlineStr">
        <is>
          <t>RNF-EPS-02</t>
        </is>
      </c>
      <c r="B10" s="5" t="inlineStr">
        <is>
          <t>No Funcional</t>
        </is>
      </c>
      <c r="C10" s="5" t="inlineStr">
        <is>
          <t>Volumen y Masa Restringida</t>
        </is>
      </c>
      <c r="D10" s="5" t="inlineStr">
        <is>
          <t>El módulo EPS + batería debe acoplarse en la pila PC/104 de 1U</t>
        </is>
      </c>
      <c r="E10" s="5" t="inlineStr">
        <is>
          <t>Masa ≤ 190 g, Altura Z ≤ 22.0 mm</t>
        </is>
      </c>
      <c r="F10" s="5" t="inlineStr">
        <is>
          <t>Inspección Física</t>
        </is>
      </c>
    </row>
    <row r="11">
      <c r="A11" s="8" t="inlineStr">
        <is>
          <t>RA-EPS-01</t>
        </is>
      </c>
      <c r="B11" s="6" t="inlineStr">
        <is>
          <t>Ambiental</t>
        </is>
      </c>
      <c r="C11" s="6" t="inlineStr">
        <is>
          <t>Operación Térmica en Vacío</t>
        </is>
      </c>
      <c r="D11" s="6" t="inlineStr">
        <is>
          <t>Manejar rango de temperatura en LEO (-20°C a +60°C)</t>
        </is>
      </c>
      <c r="E11" s="6" t="inlineStr">
        <is>
          <t>Calentador mantiene batería &gt; 0°C</t>
        </is>
      </c>
      <c r="F11" s="6" t="inlineStr">
        <is>
          <t>TVAC Test</t>
        </is>
      </c>
    </row>
    <row r="12">
      <c r="A12" s="8" t="inlineStr">
        <is>
          <t>RN-EPS-01</t>
        </is>
      </c>
      <c r="B12" s="5" t="inlineStr">
        <is>
          <t>Normativo</t>
        </is>
      </c>
      <c r="C12" s="5" t="inlineStr">
        <is>
          <t>Seguridad de Lanzamiento CDS</t>
        </is>
      </c>
      <c r="D12" s="5" t="inlineStr">
        <is>
          <t>Cumplir con los 3 interruptores de despliegue y pin RBF obligatorio</t>
        </is>
      </c>
      <c r="E12" s="5" t="inlineStr">
        <is>
          <t>Cero voltaje en conector en transporte</t>
        </is>
      </c>
      <c r="F12" s="5" t="inlineStr">
        <is>
          <t>Inspección CDS 14.1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40" customWidth="1" min="2" max="2"/>
    <col width="33" customWidth="1" min="3" max="3"/>
    <col width="19" customWidth="1" min="4" max="4"/>
    <col width="28" customWidth="1" min="5" max="5"/>
    <col width="32" customWidth="1" min="6" max="6"/>
  </cols>
  <sheetData>
    <row r="1">
      <c r="A1" s="1" t="inlineStr">
        <is>
          <t>ESPECIFICACIONES TÉCNICAS Y TRAZABILIDAD (EPS)</t>
        </is>
      </c>
    </row>
    <row r="3">
      <c r="A3" s="4" t="inlineStr">
        <is>
          <t>Código ET</t>
        </is>
      </c>
      <c r="B3" s="4" t="inlineStr">
        <is>
          <t>Especificación Técnica Cuantitativa</t>
        </is>
      </c>
      <c r="C3" s="4" t="inlineStr">
        <is>
          <t>Componente COTS Asociado</t>
        </is>
      </c>
      <c r="D3" s="4" t="inlineStr">
        <is>
          <t>Requisito Origen</t>
        </is>
      </c>
      <c r="E3" s="4" t="inlineStr">
        <is>
          <t>Valor Target</t>
        </is>
      </c>
      <c r="F3" s="4" t="inlineStr">
        <is>
          <t>Margen Diseño</t>
        </is>
      </c>
    </row>
    <row r="4">
      <c r="A4" s="5" t="inlineStr">
        <is>
          <t>ET-EPS-01</t>
        </is>
      </c>
      <c r="B4" s="5" t="inlineStr">
        <is>
          <t>Potencia Pico Fotovoltaica (5 caras)</t>
        </is>
      </c>
      <c r="C4" s="5" t="inlineStr">
        <is>
          <t>Spectrolab TASC Triple Juntura</t>
        </is>
      </c>
      <c r="D4" s="5" t="inlineStr">
        <is>
          <t>RF-EPS-01</t>
        </is>
      </c>
      <c r="E4" s="7" t="inlineStr">
        <is>
          <t>3.20 W Pico</t>
        </is>
      </c>
      <c r="F4" s="5" t="inlineStr">
        <is>
          <t>+22.5% sobre consumo</t>
        </is>
      </c>
    </row>
    <row r="5">
      <c r="A5" s="6" t="inlineStr">
        <is>
          <t>ET-EPS-02</t>
        </is>
      </c>
      <c r="B5" s="6" t="inlineStr">
        <is>
          <t>Capacidad Nominal de Batería</t>
        </is>
      </c>
      <c r="C5" s="6" t="inlineStr">
        <is>
          <t>Panasonic NCR18650GA (2S1P)</t>
        </is>
      </c>
      <c r="D5" s="6" t="inlineStr">
        <is>
          <t>RF-EPS-02</t>
        </is>
      </c>
      <c r="E5" s="7" t="inlineStr">
        <is>
          <t>8.8 Wh (3400 mAh @ 7.2V)</t>
        </is>
      </c>
      <c r="F5" s="6" t="inlineStr">
        <is>
          <t>+100% sobre consumo eclipse</t>
        </is>
      </c>
    </row>
    <row r="6">
      <c r="A6" s="5" t="inlineStr">
        <is>
          <t>ET-EPS-03</t>
        </is>
      </c>
      <c r="B6" s="5" t="inlineStr">
        <is>
          <t>Profundidad de Descarga (DoD Eclipse)</t>
        </is>
      </c>
      <c r="C6" s="5" t="inlineStr">
        <is>
          <t>PCM BQ24725A + NCR18650GA</t>
        </is>
      </c>
      <c r="D6" s="5" t="inlineStr">
        <is>
          <t>RF-EPS-02</t>
        </is>
      </c>
      <c r="E6" s="7" t="inlineStr">
        <is>
          <t>4.4% por órbita (0.39 Wh)</t>
        </is>
      </c>
      <c r="F6" s="5" t="inlineStr">
        <is>
          <t>Excelente (Límite max 20%)</t>
        </is>
      </c>
    </row>
    <row r="7">
      <c r="A7" s="6" t="inlineStr">
        <is>
          <t>ET-EPS-04</t>
        </is>
      </c>
      <c r="B7" s="6" t="inlineStr">
        <is>
          <t>Capacidad Riel +3.3V Reg.</t>
        </is>
      </c>
      <c r="C7" s="6" t="inlineStr">
        <is>
          <t>TI TPS62130 Buck Converter</t>
        </is>
      </c>
      <c r="D7" s="6" t="inlineStr">
        <is>
          <t>RF-EPS-03</t>
        </is>
      </c>
      <c r="E7" s="7" t="inlineStr">
        <is>
          <t>3.0 A Max (10.0 W)</t>
        </is>
      </c>
      <c r="F7" s="6" t="inlineStr">
        <is>
          <t>+300% sobre corriente nom</t>
        </is>
      </c>
    </row>
    <row r="8">
      <c r="A8" s="5" t="inlineStr">
        <is>
          <t>ET-EPS-05</t>
        </is>
      </c>
      <c r="B8" s="5" t="inlineStr">
        <is>
          <t>Capacidad Riel +5.0V Reg.</t>
        </is>
      </c>
      <c r="C8" s="5" t="inlineStr">
        <is>
          <t>TI TPS62130 Buck Converter</t>
        </is>
      </c>
      <c r="D8" s="5" t="inlineStr">
        <is>
          <t>RF-EPS-03</t>
        </is>
      </c>
      <c r="E8" s="7" t="inlineStr">
        <is>
          <t>3.0 A Max (15.0 W)</t>
        </is>
      </c>
      <c r="F8" s="5" t="inlineStr">
        <is>
          <t>+400% sobre corriente nom</t>
        </is>
      </c>
    </row>
    <row r="9">
      <c r="A9" s="6" t="inlineStr">
        <is>
          <t>ET-EPS-06</t>
        </is>
      </c>
      <c r="B9" s="6" t="inlineStr">
        <is>
          <t>Umbral de Disparo LCL DPU/Payload</t>
        </is>
      </c>
      <c r="C9" s="6" t="inlineStr">
        <is>
          <t>TI TPS2553DBVR LCL</t>
        </is>
      </c>
      <c r="D9" s="6" t="inlineStr">
        <is>
          <t>RF-EPS-04</t>
        </is>
      </c>
      <c r="E9" s="7" t="inlineStr">
        <is>
          <t>I_lim = 800 mA</t>
        </is>
      </c>
      <c r="F9" s="6" t="inlineStr">
        <is>
          <t>Corte &lt; 10 µs</t>
        </is>
      </c>
    </row>
    <row r="10">
      <c r="A10" s="5" t="inlineStr">
        <is>
          <t>ET-EPS-07</t>
        </is>
      </c>
      <c r="B10" s="5" t="inlineStr">
        <is>
          <t>Consumo Térmico del Calentador</t>
        </is>
      </c>
      <c r="C10" s="5" t="inlineStr">
        <is>
          <t>Minco Kapton Heater Patch</t>
        </is>
      </c>
      <c r="D10" s="5" t="inlineStr">
        <is>
          <t>RA-EPS-01</t>
        </is>
      </c>
      <c r="E10" s="7" t="inlineStr">
        <is>
          <t>0.50 W en Eclipse frío</t>
        </is>
      </c>
      <c r="F10" s="5" t="inlineStr">
        <is>
          <t>Activación automática T &lt; 2°C</t>
        </is>
      </c>
    </row>
    <row r="11">
      <c r="A11" s="6" t="inlineStr">
        <is>
          <t>ET-EPS-08</t>
        </is>
      </c>
      <c r="B11" s="6" t="inlineStr">
        <is>
          <t>Masa Total del Módulo EPS</t>
        </is>
      </c>
      <c r="C11" s="6" t="inlineStr">
        <is>
          <t>PCB EPS + Batería 2S1P + Panel</t>
        </is>
      </c>
      <c r="D11" s="6" t="inlineStr">
        <is>
          <t>RNF-EPS-02</t>
        </is>
      </c>
      <c r="E11" s="7" t="inlineStr">
        <is>
          <t>185.0 g</t>
        </is>
      </c>
      <c r="F11" s="6" t="inlineStr">
        <is>
          <t>+2.6% de margen sobre 190g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25" customWidth="1" min="2" max="2"/>
    <col width="26" customWidth="1" min="3" max="3"/>
    <col width="85" customWidth="1" min="4" max="4"/>
  </cols>
  <sheetData>
    <row r="1">
      <c r="A1" s="1" t="inlineStr">
        <is>
          <t>DISTRIBUCIÓN DE FUNCIONES HARDWARE / SOFTWARE (EPS)</t>
        </is>
      </c>
    </row>
    <row r="3">
      <c r="A3" s="4" t="inlineStr">
        <is>
          <t>Función Operativa EPS</t>
        </is>
      </c>
      <c r="B3" s="4" t="inlineStr">
        <is>
          <t>Tipo de Implementación</t>
        </is>
      </c>
      <c r="C3" s="4" t="inlineStr">
        <is>
          <t>Recurso Encargado</t>
        </is>
      </c>
      <c r="D3" s="4" t="inlineStr">
        <is>
          <t>Justificación de Ingeniería / Seguridad</t>
        </is>
      </c>
    </row>
    <row r="4">
      <c r="A4" s="5" t="inlineStr">
        <is>
          <t>Regulación de MPPT Solar</t>
        </is>
      </c>
      <c r="B4" s="8" t="inlineStr">
        <is>
          <t>Hardware Puro</t>
        </is>
      </c>
      <c r="C4" s="5" t="inlineStr">
        <is>
          <t>LT3652 / BQ25713 ICs</t>
        </is>
      </c>
      <c r="D4" s="5" t="inlineStr">
        <is>
          <t>Respuesta analógica instantánea e independiente del software de a bordo</t>
        </is>
      </c>
    </row>
    <row r="5">
      <c r="A5" s="6" t="inlineStr">
        <is>
          <t>Protección PCM Batería</t>
        </is>
      </c>
      <c r="B5" s="8" t="inlineStr">
        <is>
          <t>Hardware Puro</t>
        </is>
      </c>
      <c r="C5" s="6" t="inlineStr">
        <is>
          <t>BQ24725A + MOSFETs</t>
        </is>
      </c>
      <c r="D5" s="6" t="inlineStr">
        <is>
          <t>Corte de emergencia infranqueable por fallas de software o congelamiento de MCU</t>
        </is>
      </c>
    </row>
    <row r="6">
      <c r="A6" s="5" t="inlineStr">
        <is>
          <t>Latching Current Limit (LCL)</t>
        </is>
      </c>
      <c r="B6" s="8" t="inlineStr">
        <is>
          <t>Hardware Puro</t>
        </is>
      </c>
      <c r="C6" s="5" t="inlineStr">
        <is>
          <t>TPS2553DBVR ICs</t>
        </is>
      </c>
      <c r="D6" s="5" t="inlineStr">
        <is>
          <t>Desconexión en microsegundos ante eventos SEL sin esperar ciclo de reloj MCU</t>
        </is>
      </c>
    </row>
    <row r="7">
      <c r="A7" s="6" t="inlineStr">
        <is>
          <t>Regulación Buck 3.3V y 5.0V</t>
        </is>
      </c>
      <c r="B7" s="8" t="inlineStr">
        <is>
          <t>Hardware Puro</t>
        </is>
      </c>
      <c r="C7" s="6" t="inlineStr">
        <is>
          <t>TPS62130 Converters</t>
        </is>
      </c>
      <c r="D7" s="6" t="inlineStr">
        <is>
          <t>Conversión de potencia de alta frecuencia y respuesta a transitorios de carga</t>
        </is>
      </c>
    </row>
    <row r="8">
      <c r="A8" s="5" t="inlineStr">
        <is>
          <t>Inhibidores CDS y RBF</t>
        </is>
      </c>
      <c r="B8" s="8" t="inlineStr">
        <is>
          <t>Hardware Puro</t>
        </is>
      </c>
      <c r="C8" s="5" t="inlineStr">
        <is>
          <t>Interruptores mecánicos</t>
        </is>
      </c>
      <c r="D8" s="5" t="inlineStr">
        <is>
          <t>Exigencia estricta de seguridad de la norma CDS Rev 14.1 para transporte de cohete</t>
        </is>
      </c>
    </row>
    <row r="9">
      <c r="A9" s="6" t="inlineStr">
        <is>
          <t>Lectura de Telemetría ADC</t>
        </is>
      </c>
      <c r="B9" s="8" t="inlineStr">
        <is>
          <t>Mixta (HW + SW)</t>
        </is>
      </c>
      <c r="C9" s="6" t="inlineStr">
        <is>
          <t>MCU MSP430 + sensores</t>
        </is>
      </c>
      <c r="D9" s="6" t="inlineStr">
        <is>
          <t>Mapeo periódico de voltaje, corriente y temperatura procesados por software</t>
        </is>
      </c>
    </row>
    <row r="10">
      <c r="A10" s="5" t="inlineStr">
        <is>
          <t>Control Térmico de Calentador</t>
        </is>
      </c>
      <c r="B10" s="8" t="inlineStr">
        <is>
          <t>Mixta (HW + SW)</t>
        </is>
      </c>
      <c r="C10" s="5" t="inlineStr">
        <is>
          <t>NTC + MCU / Comparator</t>
        </is>
      </c>
      <c r="D10" s="5" t="inlineStr">
        <is>
          <t>Lógica de histéresis por software respaldada por comparador analógico de seguridad</t>
        </is>
      </c>
    </row>
    <row r="11">
      <c r="A11" s="6" t="inlineStr">
        <is>
          <t>Gestión de Modos de Potencia</t>
        </is>
      </c>
      <c r="B11" s="8" t="inlineStr">
        <is>
          <t>Software Puro</t>
        </is>
      </c>
      <c r="C11" s="6" t="inlineStr">
        <is>
          <t>Software de Vuelo OBC</t>
        </is>
      </c>
      <c r="D11" s="6" t="inlineStr">
        <is>
          <t>Orquestación de apagado no esencial cuando la batería cae por debajo del 20% DoD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168" customWidth="1" min="1" max="1"/>
    <col width="12" customWidth="1" min="2" max="2"/>
    <col width="46" customWidth="1" min="3" max="3"/>
    <col width="43" customWidth="1" min="4" max="4"/>
    <col width="44" customWidth="1" min="5" max="5"/>
  </cols>
  <sheetData>
    <row r="1">
      <c r="A1" s="1" t="inlineStr">
        <is>
          <t>EVALUACIÓN DE ALTERNATIVAS DE ARQUITECTURA EPS</t>
        </is>
      </c>
    </row>
    <row r="3">
      <c r="A3" s="4" t="inlineStr">
        <is>
          <t>Criterio de Evaluación</t>
        </is>
      </c>
      <c r="B3" s="4" t="inlineStr">
        <is>
          <t>Peso %</t>
        </is>
      </c>
      <c r="C3" s="4" t="inlineStr">
        <is>
          <t>Alt 1: PMAD Centralizado COTS + MPPT Ingest</t>
        </is>
      </c>
      <c r="D3" s="4" t="inlineStr">
        <is>
          <t>Alt 2: Regular Directa sin MPPT (Simple)</t>
        </is>
      </c>
      <c r="E3" s="4" t="inlineStr">
        <is>
          <t>Alt 3: Arquitectura Bus Regulado Complejo</t>
        </is>
      </c>
    </row>
    <row r="4">
      <c r="A4" s="5" t="inlineStr">
        <is>
          <t>Eficiencia Energética en Sol</t>
        </is>
      </c>
      <c r="B4" s="5" t="inlineStr">
        <is>
          <t>25%</t>
        </is>
      </c>
      <c r="C4" s="5" t="n">
        <v>5</v>
      </c>
      <c r="D4" s="5" t="n">
        <v>2</v>
      </c>
      <c r="E4" s="5" t="n">
        <v>4</v>
      </c>
    </row>
    <row r="5">
      <c r="A5" s="6" t="inlineStr">
        <is>
          <t>Robustez y Protecciones (PCM/LCL)</t>
        </is>
      </c>
      <c r="B5" s="6" t="inlineStr">
        <is>
          <t>25%</t>
        </is>
      </c>
      <c r="C5" s="6" t="n">
        <v>5</v>
      </c>
      <c r="D5" s="6" t="n">
        <v>3</v>
      </c>
      <c r="E5" s="6" t="n">
        <v>4</v>
      </c>
    </row>
    <row r="6">
      <c r="A6" s="5" t="inlineStr">
        <is>
          <t>Simplicidad de Integración 1U</t>
        </is>
      </c>
      <c r="B6" s="5" t="inlineStr">
        <is>
          <t>20%</t>
        </is>
      </c>
      <c r="C6" s="5" t="n">
        <v>4</v>
      </c>
      <c r="D6" s="5" t="n">
        <v>5</v>
      </c>
      <c r="E6" s="5" t="n">
        <v>2</v>
      </c>
    </row>
    <row r="7">
      <c r="A7" s="6" t="inlineStr">
        <is>
          <t>Costo y Disponibilidad COTS</t>
        </is>
      </c>
      <c r="B7" s="6" t="inlineStr">
        <is>
          <t>15%</t>
        </is>
      </c>
      <c r="C7" s="6" t="n">
        <v>4</v>
      </c>
      <c r="D7" s="6" t="n">
        <v>5</v>
      </c>
      <c r="E7" s="6" t="n">
        <v>2</v>
      </c>
    </row>
    <row r="8">
      <c r="A8" s="5" t="inlineStr">
        <is>
          <t>Masa y Volumen en Chasis 1U</t>
        </is>
      </c>
      <c r="B8" s="5" t="inlineStr">
        <is>
          <t>15%</t>
        </is>
      </c>
      <c r="C8" s="5" t="n">
        <v>4</v>
      </c>
      <c r="D8" s="5" t="n">
        <v>4</v>
      </c>
      <c r="E8" s="5" t="n">
        <v>2</v>
      </c>
    </row>
    <row r="9">
      <c r="A9" s="9" t="inlineStr">
        <is>
          <t>PUNTUACIÓN TOTAL PONDERADA</t>
        </is>
      </c>
      <c r="B9" s="9" t="inlineStr">
        <is>
          <t>100%</t>
        </is>
      </c>
      <c r="C9" s="10">
        <f>SUMPRODUCT(B4:B8, C4:C8)/100</f>
        <v/>
      </c>
      <c r="D9" s="11">
        <f>SUMPRODUCT(B4:B8, D4:D8)/100</f>
        <v/>
      </c>
      <c r="E9" s="11">
        <f>SUMPRODUCT(B4:B8, E4:E8)/100</f>
        <v/>
      </c>
    </row>
    <row r="11">
      <c r="A11" s="2" t="inlineStr">
        <is>
          <t>SELECCIÓN OFICIAL: La Alternativa 1 (PMAD Centralizado COTS con MPPT) obtiene la puntuación más alta (4.45 / 5.00), maximizando la energía colectada y la protección.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25" customWidth="1" min="4" max="4"/>
    <col width="20" customWidth="1" min="5" max="5"/>
    <col width="22" customWidth="1" min="6" max="6"/>
    <col width="59" customWidth="1" min="7" max="7"/>
  </cols>
  <sheetData>
    <row r="1">
      <c r="A1" s="1" t="inlineStr">
        <is>
          <t>DEFINICIÓN DE INTERFACES ELÉCTRICAS Y LÓGICAS DEL EPS</t>
        </is>
      </c>
    </row>
    <row r="3">
      <c r="A3" s="4" t="inlineStr">
        <is>
          <t>Código IF</t>
        </is>
      </c>
      <c r="B3" s="4" t="inlineStr">
        <is>
          <t>Origen</t>
        </is>
      </c>
      <c r="C3" s="4" t="inlineStr">
        <is>
          <t>Destino</t>
        </is>
      </c>
      <c r="D3" s="4" t="inlineStr">
        <is>
          <t>Tipo de Interfaz</t>
        </is>
      </c>
      <c r="E3" s="4" t="inlineStr">
        <is>
          <t>Señal / Protocolo</t>
        </is>
      </c>
      <c r="F3" s="4" t="inlineStr">
        <is>
          <t>Nivel Eléctrico</t>
        </is>
      </c>
      <c r="G3" s="4" t="inlineStr">
        <is>
          <t>Descripción Operativa</t>
        </is>
      </c>
    </row>
    <row r="4">
      <c r="A4" s="5" t="inlineStr">
        <is>
          <t>IF-PWR-01</t>
        </is>
      </c>
      <c r="B4" s="5" t="inlineStr">
        <is>
          <t>EPS (PMAD)</t>
        </is>
      </c>
      <c r="C4" s="5" t="inlineStr">
        <is>
          <t>OBC</t>
        </is>
      </c>
      <c r="D4" s="5" t="inlineStr">
        <is>
          <t>Alimentación Reg.</t>
        </is>
      </c>
      <c r="E4" s="8" t="inlineStr">
        <is>
          <t>+3.3V_OBC</t>
        </is>
      </c>
      <c r="F4" s="5" t="inlineStr">
        <is>
          <t>+3.3 VDC / 1A</t>
        </is>
      </c>
      <c r="G4" s="5" t="inlineStr">
        <is>
          <t>Energía continua Always-On para procesador STM32H7</t>
        </is>
      </c>
    </row>
    <row r="5">
      <c r="A5" s="6" t="inlineStr">
        <is>
          <t>IF-PWR-02</t>
        </is>
      </c>
      <c r="B5" s="6" t="inlineStr">
        <is>
          <t>EPS (LCL)</t>
        </is>
      </c>
      <c r="C5" s="6" t="inlineStr">
        <is>
          <t>Payload / DPU</t>
        </is>
      </c>
      <c r="D5" s="6" t="inlineStr">
        <is>
          <t>Alimentación Conmutada</t>
        </is>
      </c>
      <c r="E5" s="8" t="inlineStr">
        <is>
          <t>V_BAT_PAY / +3.3V</t>
        </is>
      </c>
      <c r="F5" s="6" t="inlineStr">
        <is>
          <t>7.2 VDC / +3.3 VDC</t>
        </is>
      </c>
      <c r="G5" s="6" t="inlineStr">
        <is>
          <t>Alimentación controlada por Power-Gating para Zynq-7000</t>
        </is>
      </c>
    </row>
    <row r="6">
      <c r="A6" s="5" t="inlineStr">
        <is>
          <t>IF-PWR-03</t>
        </is>
      </c>
      <c r="B6" s="5" t="inlineStr">
        <is>
          <t>EPS (LCL)</t>
        </is>
      </c>
      <c r="C6" s="5" t="inlineStr">
        <is>
          <t>TT&amp;C Radio</t>
        </is>
      </c>
      <c r="D6" s="5" t="inlineStr">
        <is>
          <t>Alimentación Conmutada</t>
        </is>
      </c>
      <c r="E6" s="8" t="inlineStr">
        <is>
          <t>+3.3V / +5.0V_TX</t>
        </is>
      </c>
      <c r="F6" s="5" t="inlineStr">
        <is>
          <t>+3.3 V / +5.0 VDC</t>
        </is>
      </c>
      <c r="G6" s="5" t="inlineStr">
        <is>
          <t>Riel dedicado para amplificador de potencia de RF S-Band</t>
        </is>
      </c>
    </row>
    <row r="7">
      <c r="A7" s="6" t="inlineStr">
        <is>
          <t>IF-PWR-04</t>
        </is>
      </c>
      <c r="B7" s="6" t="inlineStr">
        <is>
          <t>EPS (LCL)</t>
        </is>
      </c>
      <c r="C7" s="6" t="inlineStr">
        <is>
          <t>ADCS Actuadores</t>
        </is>
      </c>
      <c r="D7" s="6" t="inlineStr">
        <is>
          <t>Alimentación Conmutada</t>
        </is>
      </c>
      <c r="E7" s="8" t="inlineStr">
        <is>
          <t>+5.0V_ADCS</t>
        </is>
      </c>
      <c r="F7" s="6" t="inlineStr">
        <is>
          <t>+5.0 VDC / 1.5A</t>
        </is>
      </c>
      <c r="G7" s="6" t="inlineStr">
        <is>
          <t>Alimentación para ruedas de reacción y magnetorquers</t>
        </is>
      </c>
    </row>
    <row r="8">
      <c r="A8" s="5" t="inlineStr">
        <is>
          <t>IF-SOL-01..05</t>
        </is>
      </c>
      <c r="B8" s="5" t="inlineStr">
        <is>
          <t>Paneles Solares</t>
        </is>
      </c>
      <c r="C8" s="5" t="inlineStr">
        <is>
          <t>EPS (MPPT)</t>
        </is>
      </c>
      <c r="D8" s="5" t="inlineStr">
        <is>
          <t>Potencia Fotovoltaica</t>
        </is>
      </c>
      <c r="E8" s="8" t="inlineStr">
        <is>
          <t>V_SOL_1..5</t>
        </is>
      </c>
      <c r="F8" s="5" t="inlineStr">
        <is>
          <t>0.0 V - 5.2 VDC</t>
        </is>
      </c>
      <c r="G8" s="5" t="inlineStr">
        <is>
          <t>Entrada analógica de 5 caras solares hacia canales MPPT</t>
        </is>
      </c>
    </row>
    <row r="9">
      <c r="A9" s="6" t="inlineStr">
        <is>
          <t>IF-TLM-01</t>
        </is>
      </c>
      <c r="B9" s="6" t="inlineStr">
        <is>
          <t>EPS (MCU)</t>
        </is>
      </c>
      <c r="C9" s="6" t="inlineStr">
        <is>
          <t>OBC</t>
        </is>
      </c>
      <c r="D9" s="6" t="inlineStr">
        <is>
          <t>Bus de Datos</t>
        </is>
      </c>
      <c r="E9" s="8" t="inlineStr">
        <is>
          <t>I2C / CAN Bus</t>
        </is>
      </c>
      <c r="F9" s="6" t="inlineStr">
        <is>
          <t>3.3V TTL / CAN Diff</t>
        </is>
      </c>
      <c r="G9" s="6" t="inlineStr">
        <is>
          <t>Envío periódico de datos de telemetría de potencia</t>
        </is>
      </c>
    </row>
    <row r="10">
      <c r="A10" s="5" t="inlineStr">
        <is>
          <t>IF-INH-01</t>
        </is>
      </c>
      <c r="B10" s="5" t="inlineStr">
        <is>
          <t>Deployment Sw</t>
        </is>
      </c>
      <c r="C10" s="5" t="inlineStr">
        <is>
          <t>Batería Li-Ion</t>
        </is>
      </c>
      <c r="D10" s="5" t="inlineStr">
        <is>
          <t>Inhibidor Físico</t>
        </is>
      </c>
      <c r="E10" s="8" t="inlineStr">
        <is>
          <t>BATT_DISCONNECT</t>
        </is>
      </c>
      <c r="F10" s="5" t="inlineStr">
        <is>
          <t>Corte mecánico 0V</t>
        </is>
      </c>
      <c r="G10" s="5" t="inlineStr">
        <is>
          <t>Desconexión total de batería hasta eyección del P-POD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28" customWidth="1" min="2" max="2"/>
    <col width="34" customWidth="1" min="3" max="3"/>
    <col width="40" customWidth="1" min="4" max="4"/>
    <col width="24" customWidth="1" min="5" max="5"/>
    <col width="26" customWidth="1" min="6" max="6"/>
  </cols>
  <sheetData>
    <row r="1">
      <c r="A1" s="1" t="inlineStr">
        <is>
          <t>PRESUPUESTO DE ENERGÍA Y CONSUMOS GLOBALES DEL SATÉLITE (5 SUBSISTEMAS)</t>
        </is>
      </c>
    </row>
    <row r="3">
      <c r="A3" s="4" t="inlineStr">
        <is>
          <t>Subsistema</t>
        </is>
      </c>
      <c r="B3" s="4" t="inlineStr">
        <is>
          <t>Modo Sol / Carga (55 min)</t>
        </is>
      </c>
      <c r="C3" s="4" t="inlineStr">
        <is>
          <t>Modo Captura Colombia (4.5 min)</t>
        </is>
      </c>
      <c r="D3" s="4" t="inlineStr">
        <is>
          <t>Modo Downlink Tx (8.3 min)</t>
        </is>
      </c>
      <c r="E3" s="4" t="inlineStr">
        <is>
          <t>Modo Eclipse (35 min)</t>
        </is>
      </c>
      <c r="F3" s="4" t="inlineStr">
        <is>
          <t>Consumo Promedio Órbita</t>
        </is>
      </c>
    </row>
    <row r="4">
      <c r="A4" s="5" t="inlineStr">
        <is>
          <t>OBC (STM32H7 Always-On)</t>
        </is>
      </c>
      <c r="B4" s="12" t="n">
        <v>0.22</v>
      </c>
      <c r="C4" s="12" t="n">
        <v>0.22</v>
      </c>
      <c r="D4" s="12" t="n">
        <v>0.22</v>
      </c>
      <c r="E4" s="12" t="n">
        <v>0.22</v>
      </c>
      <c r="F4" s="12" t="n">
        <v>0.22</v>
      </c>
    </row>
    <row r="5">
      <c r="A5" s="6" t="inlineStr">
        <is>
          <t>Payload / DPU (Zynq + Sensor)</t>
        </is>
      </c>
      <c r="B5" s="13" t="n">
        <v>0</v>
      </c>
      <c r="C5" s="13" t="n">
        <v>1.65</v>
      </c>
      <c r="D5" s="13" t="n">
        <v>0</v>
      </c>
      <c r="E5" s="13" t="n">
        <v>0</v>
      </c>
      <c r="F5" s="13" t="n">
        <v>0.083</v>
      </c>
    </row>
    <row r="6">
      <c r="A6" s="5" t="inlineStr">
        <is>
          <t>TT&amp;C Radio (S-Band Transceiver)</t>
        </is>
      </c>
      <c r="B6" s="12" t="n">
        <v>0.15</v>
      </c>
      <c r="C6" s="12" t="n">
        <v>0.15</v>
      </c>
      <c r="D6" s="12" t="n">
        <v>3.5</v>
      </c>
      <c r="E6" s="12" t="n">
        <v>0.15</v>
      </c>
      <c r="F6" s="12" t="n">
        <v>0.46</v>
      </c>
    </row>
    <row r="7">
      <c r="A7" s="6" t="inlineStr">
        <is>
          <t>ADCS / GNC (Ruedas + Torquers)</t>
        </is>
      </c>
      <c r="B7" s="13" t="n">
        <v>0.2</v>
      </c>
      <c r="C7" s="13" t="n">
        <v>1.2</v>
      </c>
      <c r="D7" s="13" t="n">
        <v>0.2</v>
      </c>
      <c r="E7" s="13" t="n">
        <v>0.2</v>
      </c>
      <c r="F7" s="13" t="n">
        <v>0.25</v>
      </c>
    </row>
    <row r="8">
      <c r="A8" s="5" t="inlineStr">
        <is>
          <t>EPS Pérdidas PMAD / LDO</t>
        </is>
      </c>
      <c r="B8" s="12" t="n">
        <v>0.1</v>
      </c>
      <c r="C8" s="12" t="n">
        <v>0.15</v>
      </c>
      <c r="D8" s="12" t="n">
        <v>0.18</v>
      </c>
      <c r="E8" s="12" t="n">
        <v>0.1</v>
      </c>
      <c r="F8" s="12" t="n">
        <v>0.108</v>
      </c>
    </row>
    <row r="9">
      <c r="A9" s="11" t="inlineStr">
        <is>
          <t>POTENCIA TOTAL CONSUMIDA (W)</t>
        </is>
      </c>
      <c r="B9" s="14">
        <f>SUM(B4:B8)</f>
        <v/>
      </c>
      <c r="C9" s="14">
        <f>SUM(C4:C8)</f>
        <v/>
      </c>
      <c r="D9" s="14">
        <f>SUM(D4:D8)</f>
        <v/>
      </c>
      <c r="E9" s="14">
        <f>SUM(E4:E8)</f>
        <v/>
      </c>
      <c r="F9" s="15">
        <f>SUM(F4:F8)</f>
        <v/>
      </c>
    </row>
    <row r="12">
      <c r="A12" s="3" t="inlineStr">
        <is>
          <t>MÉTRICAS Y BALANCE ENERGÉTICO EN ÓRBITA LEO (550 KM)</t>
        </is>
      </c>
    </row>
    <row r="13">
      <c r="A13" s="4" t="inlineStr">
        <is>
          <t>Métrica Energética</t>
        </is>
      </c>
      <c r="B13" s="4" t="inlineStr">
        <is>
          <t>Valor Calculado</t>
        </is>
      </c>
      <c r="C13" s="4" t="inlineStr">
        <is>
          <t>Unidades</t>
        </is>
      </c>
      <c r="D13" s="4" t="inlineStr">
        <is>
          <t>Evaluación / Cumplimiento</t>
        </is>
      </c>
    </row>
    <row r="14">
      <c r="A14" s="5" t="inlineStr">
        <is>
          <t>Energía Total Consumida por Órbita</t>
        </is>
      </c>
      <c r="B14" s="7">
        <f>F9 * (90/60)</f>
        <v/>
      </c>
      <c r="C14" s="5" t="inlineStr">
        <is>
          <t>Wh</t>
        </is>
      </c>
      <c r="D14" s="5" t="inlineStr">
        <is>
          <t>Base para generación solar requerida</t>
        </is>
      </c>
    </row>
    <row r="15">
      <c r="A15" s="6" t="inlineStr">
        <is>
          <t>Energía Extraída en Eclipse (35 min)</t>
        </is>
      </c>
      <c r="B15" s="7">
        <f>E9 * (35/60)</f>
        <v/>
      </c>
      <c r="C15" s="6" t="inlineStr">
        <is>
          <t>Wh</t>
        </is>
      </c>
      <c r="D15" s="6" t="inlineStr">
        <is>
          <t>Sostenida 100% por batería Li-Ion</t>
        </is>
      </c>
    </row>
    <row r="16">
      <c r="A16" s="5" t="inlineStr">
        <is>
          <t>Capacidad Útil de Batería (8.8 Wh)</t>
        </is>
      </c>
      <c r="B16" s="7" t="n">
        <v>8.800000000000001</v>
      </c>
      <c r="C16" s="5" t="inlineStr">
        <is>
          <t>Wh</t>
        </is>
      </c>
      <c r="D16" s="5" t="inlineStr">
        <is>
          <t>Pack Li-Ion 2S1P Panasonic NCR18650GA</t>
        </is>
      </c>
    </row>
    <row r="17">
      <c r="A17" s="6" t="inlineStr">
        <is>
          <t>Profundidad de Descarga (DoD)</t>
        </is>
      </c>
      <c r="B17" s="7">
        <f>(B15/B16)*100</f>
        <v/>
      </c>
      <c r="C17" s="6" t="inlineStr">
        <is>
          <t>%</t>
        </is>
      </c>
      <c r="D17" s="6" t="inlineStr">
        <is>
          <t>Excelente: 4.4% &lt;&lt; 20.0% (Límite LEO)</t>
        </is>
      </c>
    </row>
    <row r="18">
      <c r="A18" s="5" t="inlineStr">
        <is>
          <t>Generación Solar Requerida en Sol</t>
        </is>
      </c>
      <c r="B18" s="7">
        <f>(B14 + B15) / (55/60)</f>
        <v/>
      </c>
      <c r="C18" s="5" t="inlineStr">
        <is>
          <t>W</t>
        </is>
      </c>
      <c r="D18" s="5" t="inlineStr">
        <is>
          <t>Celdas deben generar ≥ 2.15 W</t>
        </is>
      </c>
    </row>
    <row r="19">
      <c r="A19" s="6" t="inlineStr">
        <is>
          <t>Generación Solar Disponible (5 Caras)</t>
        </is>
      </c>
      <c r="B19" s="7" t="n">
        <v>2.85</v>
      </c>
      <c r="C19" s="6" t="inlineStr">
        <is>
          <t>W</t>
        </is>
      </c>
      <c r="D19" s="6" t="inlineStr">
        <is>
          <t>Superávit de generación de +32.5%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79" customWidth="1" min="1" max="1"/>
    <col width="29" customWidth="1" min="2" max="2"/>
    <col width="25" customWidth="1" min="3" max="3"/>
    <col width="22" customWidth="1" min="4" max="4"/>
    <col width="39" customWidth="1" min="5" max="5"/>
    <col width="43" customWidth="1" min="6" max="6"/>
  </cols>
  <sheetData>
    <row r="1">
      <c r="A1" s="1" t="inlineStr">
        <is>
          <t>ESTIMACIÓN DE ÁREA DE PCB, UBICACIÓN Y VOLUMEN LIBRE 1U</t>
        </is>
      </c>
    </row>
    <row r="3">
      <c r="A3" s="4" t="inlineStr">
        <is>
          <t>Componente / Estructura</t>
        </is>
      </c>
      <c r="B3" s="4" t="inlineStr">
        <is>
          <t>Dimensiones L x W x H (mm)</t>
        </is>
      </c>
      <c r="C3" s="4" t="inlineStr">
        <is>
          <t>Área PCB TOP/BOT (mm²)</t>
        </is>
      </c>
      <c r="D3" s="4" t="inlineStr">
        <is>
          <t>Volumen en 1U (cm³)</t>
        </is>
      </c>
      <c r="E3" s="4" t="inlineStr">
        <is>
          <t>Ubicación en CubeSat 1U</t>
        </is>
      </c>
      <c r="F3" s="4" t="inlineStr">
        <is>
          <t>Notas de Integración</t>
        </is>
      </c>
    </row>
    <row r="4">
      <c r="A4" s="5" t="inlineStr">
        <is>
          <t>PCB 3 EPS (Sustrato 6-Capas)</t>
        </is>
      </c>
      <c r="B4" s="5" t="inlineStr">
        <is>
          <t>90.0 x 96.0 x 1.6</t>
        </is>
      </c>
      <c r="C4" s="5" t="n">
        <v>8640</v>
      </c>
      <c r="D4" s="5" t="n">
        <v>13.8</v>
      </c>
      <c r="E4" s="5" t="inlineStr">
        <is>
          <t>Tercer nivel en la pila PC/104</t>
        </is>
      </c>
      <c r="F4" s="5" t="inlineStr">
        <is>
          <t>Sustrato FR4 alta TG resistente a TVAC</t>
        </is>
      </c>
    </row>
    <row r="5">
      <c r="A5" s="6" t="inlineStr">
        <is>
          <t>Pack de Baterías 2S1P + PCM</t>
        </is>
      </c>
      <c r="B5" s="6" t="inlineStr">
        <is>
          <t>66.0 x 37.0 x 19.0</t>
        </is>
      </c>
      <c r="C5" s="6" t="n">
        <v>2442</v>
      </c>
      <c r="D5" s="6" t="n">
        <v>46.3</v>
      </c>
      <c r="E5" s="6" t="inlineStr">
        <is>
          <t>Piggyback sobre cara TOP de PCB 3</t>
        </is>
      </c>
      <c r="F5" s="6" t="inlineStr">
        <is>
          <t>2 celdas 18650 con calentador Kapton</t>
        </is>
      </c>
    </row>
    <row r="6">
      <c r="A6" s="5" t="inlineStr">
        <is>
          <t>Convertidores Buck &amp; LCLs</t>
        </is>
      </c>
      <c r="B6" s="5" t="inlineStr">
        <is>
          <t>Varios SMD 0603/VQFN</t>
        </is>
      </c>
      <c r="C6" s="5" t="n">
        <v>450</v>
      </c>
      <c r="D6" s="5" t="n">
        <v>2.5</v>
      </c>
      <c r="E6" s="5" t="inlineStr">
        <is>
          <t>Distribuidos en cara BOTTOM de PCB 3</t>
        </is>
      </c>
      <c r="F6" s="5" t="inlineStr">
        <is>
          <t>Plano continuo de masa para disipación</t>
        </is>
      </c>
    </row>
    <row r="7">
      <c r="A7" s="6" t="inlineStr">
        <is>
          <t>Conector Bus PC/104 (ESQ-126)</t>
        </is>
      </c>
      <c r="B7" s="6" t="inlineStr">
        <is>
          <t>52.0 x 5.0 x 11.0</t>
        </is>
      </c>
      <c r="C7" s="6" t="n">
        <v>260</v>
      </c>
      <c r="D7" s="6" t="n">
        <v>2.8</v>
      </c>
      <c r="E7" s="6" t="inlineStr">
        <is>
          <t>Borde estandarizado PC/104</t>
        </is>
      </c>
      <c r="F7" s="6" t="inlineStr">
        <is>
          <t>Interconexión vertical de potencia y CAN</t>
        </is>
      </c>
    </row>
    <row r="8">
      <c r="A8" s="5" t="inlineStr">
        <is>
          <t>Paneles Solares (x5 Caras)</t>
        </is>
      </c>
      <c r="B8" s="5" t="inlineStr">
        <is>
          <t>82.6 x 98.0 x 1.5 (x5)</t>
        </is>
      </c>
      <c r="C8" s="5" t="inlineStr">
        <is>
          <t>--</t>
        </is>
      </c>
      <c r="D8" s="5" t="n">
        <v>60.7</v>
      </c>
      <c r="E8" s="5" t="inlineStr">
        <is>
          <t>Montados externamente en 5 caras</t>
        </is>
      </c>
      <c r="F8" s="5" t="inlineStr">
        <is>
          <t>Cara Nadir (-Z) libre para lente M12</t>
        </is>
      </c>
    </row>
    <row r="9">
      <c r="A9" s="7" t="inlineStr">
        <is>
          <t>SUBTOTAL MÓDULO EPS + BAT</t>
        </is>
      </c>
      <c r="B9" s="7" t="inlineStr">
        <is>
          <t>90.0 x 96.0 x 22.0</t>
        </is>
      </c>
      <c r="C9" s="7" t="n">
        <v>3152</v>
      </c>
      <c r="D9" s="7" t="n">
        <v>126.1</v>
      </c>
      <c r="E9" s="7" t="inlineStr">
        <is>
          <t>Ocupación de Eje Z = 22.0 mm</t>
        </is>
      </c>
      <c r="F9" s="7" t="inlineStr">
        <is>
          <t>22.0% de la altura total de 1U</t>
        </is>
      </c>
    </row>
    <row r="11">
      <c r="A11" s="3" t="inlineStr">
        <is>
          <t>CONTABILIDAD Y PRESUPUESTO ESPACIAL DEL CUBESAT 1U COMPLETO (EJE Z = 100 MM)</t>
        </is>
      </c>
    </row>
    <row r="12">
      <c r="A12" s="4" t="inlineStr">
        <is>
          <t>Módulo / Tarjeta PCB</t>
        </is>
      </c>
      <c r="B12" s="4" t="inlineStr">
        <is>
          <t>Posición Z en Pila 1U</t>
        </is>
      </c>
      <c r="C12" s="4" t="inlineStr">
        <is>
          <t>Altura Z Ocupada (mm)</t>
        </is>
      </c>
      <c r="D12" s="4" t="inlineStr">
        <is>
          <t>% Altura 1U</t>
        </is>
      </c>
      <c r="E12" s="4" t="inlineStr">
        <is>
          <t>Masa (g)</t>
        </is>
      </c>
      <c r="F12" s="4" t="inlineStr">
        <is>
          <t>Espacio Libre Restante</t>
        </is>
      </c>
    </row>
    <row r="13">
      <c r="A13" s="6" t="inlineStr">
        <is>
          <t>PCB 1: Payload &amp; DPU + Lente M12</t>
        </is>
      </c>
      <c r="B13" s="6" t="inlineStr">
        <is>
          <t>Nivel 1 (Z- Nadir)</t>
        </is>
      </c>
      <c r="C13" s="6" t="n">
        <v>22</v>
      </c>
      <c r="D13" s="6" t="inlineStr">
        <is>
          <t>22.0%</t>
        </is>
      </c>
      <c r="E13" s="6" t="n">
        <v>110</v>
      </c>
      <c r="F13" s="6" t="inlineStr">
        <is>
          <t>Apertura óptica en cara -Z</t>
        </is>
      </c>
    </row>
    <row r="14">
      <c r="A14" s="5" t="inlineStr">
        <is>
          <t>PCB 2: OBC + COMMS + ADCS Ctrl</t>
        </is>
      </c>
      <c r="B14" s="5" t="inlineStr">
        <is>
          <t>Nivel 2 (Intermedio)</t>
        </is>
      </c>
      <c r="C14" s="5" t="n">
        <v>15.1</v>
      </c>
      <c r="D14" s="5" t="inlineStr">
        <is>
          <t>15.1%</t>
        </is>
      </c>
      <c r="E14" s="5" t="n">
        <v>75</v>
      </c>
      <c r="F14" s="5" t="inlineStr">
        <is>
          <t>Placa integrada de procesador y radio</t>
        </is>
      </c>
    </row>
    <row r="15">
      <c r="A15" s="6" t="inlineStr">
        <is>
          <t>PCB 3: EPS Board + Batería 2S1P</t>
        </is>
      </c>
      <c r="B15" s="6" t="inlineStr">
        <is>
          <t>Nivel 3 (Zenith)</t>
        </is>
      </c>
      <c r="C15" s="6" t="n">
        <v>22</v>
      </c>
      <c r="D15" s="6" t="inlineStr">
        <is>
          <t>22.0%</t>
        </is>
      </c>
      <c r="E15" s="6" t="n">
        <v>185</v>
      </c>
      <c r="F15" s="6" t="inlineStr">
        <is>
          <t>Módulo de potencia y almacenamiento</t>
        </is>
      </c>
    </row>
    <row r="16">
      <c r="A16" s="5" t="inlineStr">
        <is>
          <t>Separadores PC/104 + Holguras</t>
        </is>
      </c>
      <c r="B16" s="5" t="inlineStr">
        <is>
          <t>Entre Tarjetas</t>
        </is>
      </c>
      <c r="C16" s="5" t="n">
        <v>25</v>
      </c>
      <c r="D16" s="5" t="inlineStr">
        <is>
          <t>25.0%</t>
        </is>
      </c>
      <c r="E16" s="5" t="n">
        <v>40</v>
      </c>
      <c r="F16" s="5" t="inlineStr">
        <is>
          <t>Garantiza flujo térmico e integridad</t>
        </is>
      </c>
    </row>
    <row r="17">
      <c r="A17" s="6" t="inlineStr">
        <is>
          <t>Actuadores ADCS (3x Reaction Wh)</t>
        </is>
      </c>
      <c r="B17" s="6" t="inlineStr">
        <is>
          <t>Base Zenith</t>
        </is>
      </c>
      <c r="C17" s="6" t="n">
        <v>12</v>
      </c>
      <c r="D17" s="6" t="inlineStr">
        <is>
          <t>12.0%</t>
        </is>
      </c>
      <c r="E17" s="6" t="n">
        <v>150</v>
      </c>
      <c r="F17" s="6" t="inlineStr">
        <is>
          <t>Marco mecánico de ruedas de reacción</t>
        </is>
      </c>
    </row>
    <row r="18">
      <c r="A18" s="5" t="inlineStr">
        <is>
          <t>Chasis Aluminio + Paneles Solares</t>
        </is>
      </c>
      <c r="B18" s="5" t="inlineStr">
        <is>
          <t>Estructura 1U</t>
        </is>
      </c>
      <c r="C18" s="5" t="n">
        <v>0</v>
      </c>
      <c r="D18" s="5" t="inlineStr">
        <is>
          <t>0.0%</t>
        </is>
      </c>
      <c r="E18" s="5" t="n">
        <v>250</v>
      </c>
      <c r="F18" s="5" t="inlineStr">
        <is>
          <t>6 caras de chasis de aluminio 6061-T6</t>
        </is>
      </c>
    </row>
    <row r="19">
      <c r="A19" s="7" t="inlineStr">
        <is>
          <t>TOTALES CUBESAT UD34 1U</t>
        </is>
      </c>
      <c r="B19" s="7" t="inlineStr">
        <is>
          <t>Pila Completa 1U</t>
        </is>
      </c>
      <c r="C19" s="7">
        <f>SUM(C13:C17)</f>
        <v/>
      </c>
      <c r="D19" s="7">
        <f>SUM(D13:D17)</f>
        <v/>
      </c>
      <c r="E19" s="7">
        <f>SUM(E13:E18)</f>
        <v/>
      </c>
      <c r="F19" s="7" t="inlineStr">
        <is>
          <t>MARGEN LIBRE Z = 3.9 mm (3.9%)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36" customWidth="1" min="3" max="3"/>
    <col width="35" customWidth="1" min="4" max="4"/>
    <col width="26" customWidth="1" min="5" max="5"/>
    <col width="46" customWidth="1" min="6" max="6"/>
    <col width="52" customWidth="1" min="7" max="7"/>
  </cols>
  <sheetData>
    <row r="1">
      <c r="A1" s="16" t="inlineStr">
        <is>
          <t>Distribución por Etapas y Sectores - Subsistema EPS / Potencia Eléctrica</t>
        </is>
      </c>
    </row>
    <row r="2">
      <c r="A2" s="17" t="inlineStr">
        <is>
          <t>Proyecto CubeSat UD34 1U - Mapeo de Componentes de Lista A y B por Bloque Funcional</t>
        </is>
      </c>
    </row>
    <row r="4">
      <c r="A4" s="18" t="inlineStr">
        <is>
          <t>Sector / Etapa Funcional</t>
        </is>
      </c>
      <c r="B4" s="18" t="inlineStr">
        <is>
          <t>Lista</t>
        </is>
      </c>
      <c r="C4" s="18" t="inlineStr">
        <is>
          <t>Función / Bloque</t>
        </is>
      </c>
      <c r="D4" s="18" t="inlineStr">
        <is>
          <t>Referencia COTS</t>
        </is>
      </c>
      <c r="E4" s="18" t="inlineStr">
        <is>
          <t>Fabricante</t>
        </is>
      </c>
      <c r="F4" s="18" t="inlineStr">
        <is>
          <t>Especificación Técnica / Interface</t>
        </is>
      </c>
      <c r="G4" s="18" t="inlineStr">
        <is>
          <t>Requisito / Justificación</t>
        </is>
      </c>
    </row>
    <row r="5">
      <c r="A5" s="19" t="inlineStr">
        <is>
          <t>1. Captación Solar (Generación)</t>
        </is>
      </c>
      <c r="B5" s="20" t="inlineStr">
        <is>
          <t>Lista A</t>
        </is>
      </c>
      <c r="C5" s="21" t="inlineStr">
        <is>
          <t>5x Paneles Solares Corporales</t>
        </is>
      </c>
      <c r="D5" s="21" t="inlineStr">
        <is>
          <t>Spectrolab TASC</t>
        </is>
      </c>
      <c r="E5" s="21" t="inlineStr">
        <is>
          <t>Boeing Spectrolab</t>
        </is>
      </c>
      <c r="F5" s="21" t="inlineStr">
        <is>
          <t>Celdas Triple Juntura GaAs (30% ef.)</t>
        </is>
      </c>
      <c r="G5" s="21" t="inlineStr">
        <is>
          <t>Generación solar 2.85 W promedio en Sol (RF-EPS-01)</t>
        </is>
      </c>
    </row>
    <row r="6">
      <c r="A6" s="22" t="inlineStr">
        <is>
          <t>1. Captación Solar (Generación)</t>
        </is>
      </c>
      <c r="B6" s="23" t="inlineStr">
        <is>
          <t>Lista B</t>
        </is>
      </c>
      <c r="C6" s="24" t="inlineStr">
        <is>
          <t>Diodos Schottky de Bloqueo</t>
        </is>
      </c>
      <c r="D6" s="24" t="inlineStr">
        <is>
          <t>SD103A / COTS</t>
        </is>
      </c>
      <c r="E6" s="24" t="inlineStr">
        <is>
          <t>NXP / Diodes Inc.</t>
        </is>
      </c>
      <c r="F6" s="24" t="inlineStr">
        <is>
          <t>Diodos de barrera Schottky</t>
        </is>
      </c>
      <c r="G6" s="24" t="inlineStr">
        <is>
          <t>Prevención de corriente inversa hacia paneles en sombra</t>
        </is>
      </c>
    </row>
    <row r="7">
      <c r="A7" s="19" t="inlineStr">
        <is>
          <t>2. Acondicionamiento y MPPT</t>
        </is>
      </c>
      <c r="B7" s="20" t="inlineStr">
        <is>
          <t>Lista A</t>
        </is>
      </c>
      <c r="C7" s="21" t="inlineStr">
        <is>
          <t>Regulador Buck-Boost MPPT NVDC</t>
        </is>
      </c>
      <c r="D7" s="21" t="inlineStr">
        <is>
          <t>BQ25713</t>
        </is>
      </c>
      <c r="E7" s="21" t="inlineStr">
        <is>
          <t>Texas Instruments</t>
        </is>
      </c>
      <c r="F7" s="21" t="inlineStr">
        <is>
          <t>I2C, Eficiencia &gt;90%, NVDC</t>
        </is>
      </c>
      <c r="G7" s="21" t="inlineStr">
        <is>
          <t>Seguimiento punto de máxima potencia solar (RF-EPS-01)</t>
        </is>
      </c>
    </row>
    <row r="8">
      <c r="A8" s="22" t="inlineStr">
        <is>
          <t>2. Acondicionamiento y MPPT</t>
        </is>
      </c>
      <c r="B8" s="23" t="inlineStr">
        <is>
          <t>Lista A</t>
        </is>
      </c>
      <c r="C8" s="24" t="inlineStr">
        <is>
          <t>Cargador Batería Inteligente</t>
        </is>
      </c>
      <c r="D8" s="24" t="inlineStr">
        <is>
          <t>BQ24725A</t>
        </is>
      </c>
      <c r="E8" s="24" t="inlineStr">
        <is>
          <t>Texas Instruments</t>
        </is>
      </c>
      <c r="F8" s="24" t="inlineStr">
        <is>
          <t>Control carga CCCV, I2C/SMBus</t>
        </is>
      </c>
      <c r="G8" s="24" t="inlineStr">
        <is>
          <t>Gestión y balanceo de carga de batería Li-Ion</t>
        </is>
      </c>
    </row>
    <row r="9">
      <c r="A9" s="19" t="inlineStr">
        <is>
          <t>3. Almacenamiento de Energía</t>
        </is>
      </c>
      <c r="B9" s="20" t="inlineStr">
        <is>
          <t>Lista A</t>
        </is>
      </c>
      <c r="C9" s="21" t="inlineStr">
        <is>
          <t>Pack Baterías Li-Ion 2S1P</t>
        </is>
      </c>
      <c r="D9" s="21" t="inlineStr">
        <is>
          <t>ICR18650-26J (2x)</t>
        </is>
      </c>
      <c r="E9" s="21" t="inlineStr">
        <is>
          <t>Samsung SDI / GomSpace</t>
        </is>
      </c>
      <c r="F9" s="21" t="inlineStr">
        <is>
          <t>Pack 2S1P 8.8 Wh (7.4V nominales)</t>
        </is>
      </c>
      <c r="G9" s="21" t="inlineStr">
        <is>
          <t>Suministro energético en eclipse y picos (DoD=11.5%)</t>
        </is>
      </c>
    </row>
    <row r="10">
      <c r="A10" s="22" t="inlineStr">
        <is>
          <t>3. Almacenamiento de Energía</t>
        </is>
      </c>
      <c r="B10" s="23" t="inlineStr">
        <is>
          <t>Lista B</t>
        </is>
      </c>
      <c r="C10" s="24" t="inlineStr">
        <is>
          <t>Sensor Temperatura NTC Batería</t>
        </is>
      </c>
      <c r="D10" s="24" t="inlineStr">
        <is>
          <t>NTC 10kOhm</t>
        </is>
      </c>
      <c r="E10" s="24" t="inlineStr">
        <is>
          <t>Vishay / Murata</t>
        </is>
      </c>
      <c r="F10" s="24" t="inlineStr">
        <is>
          <t>Termistor NTC 10 kOhm</t>
        </is>
      </c>
      <c r="G10" s="24" t="inlineStr">
        <is>
          <t>Monitoreo térmico de seguridad en carga de batería</t>
        </is>
      </c>
    </row>
    <row r="11">
      <c r="A11" s="19" t="inlineStr">
        <is>
          <t>3. Almacenamiento de Energía</t>
        </is>
      </c>
      <c r="B11" s="20" t="inlineStr">
        <is>
          <t>Lista B</t>
        </is>
      </c>
      <c r="C11" s="21" t="inlineStr">
        <is>
          <t>Calefactor Capton de Batería</t>
        </is>
      </c>
      <c r="D11" s="21" t="inlineStr">
        <is>
          <t>Calefactor Flexible Capton 0.5W</t>
        </is>
      </c>
      <c r="E11" s="21" t="inlineStr">
        <is>
          <t>Minco / COTS</t>
        </is>
      </c>
      <c r="F11" s="21" t="inlineStr">
        <is>
          <t>Calefactor resistivo 0.5 W</t>
        </is>
      </c>
      <c r="G11" s="21" t="inlineStr">
        <is>
          <t>Mantenimiento térmico de batería si T &lt; 0°C</t>
        </is>
      </c>
    </row>
    <row r="12">
      <c r="A12" s="22" t="inlineStr">
        <is>
          <t>4. Regulación y Distribución PMAD</t>
        </is>
      </c>
      <c r="B12" s="23" t="inlineStr">
        <is>
          <t>Lista B</t>
        </is>
      </c>
      <c r="C12" s="24" t="inlineStr">
        <is>
          <t>Regulador Buck 3.3V Ultra-Low IQ</t>
        </is>
      </c>
      <c r="D12" s="24" t="inlineStr">
        <is>
          <t>TPS62840DLCR</t>
        </is>
      </c>
      <c r="E12" s="24" t="inlineStr">
        <is>
          <t>Texas Instruments</t>
        </is>
      </c>
      <c r="F12" s="24" t="inlineStr">
        <is>
          <t>Buck 3.3V, IQ = 60 nA, 750 mA</t>
        </is>
      </c>
      <c r="G12" s="24" t="inlineStr">
        <is>
          <t>Alimentación regulada de OBC, ADCS y Radio (RF-EPS-01)</t>
        </is>
      </c>
    </row>
    <row r="13">
      <c r="A13" s="19" t="inlineStr">
        <is>
          <t>4. Regulación y Distribución PMAD</t>
        </is>
      </c>
      <c r="B13" s="20" t="inlineStr">
        <is>
          <t>Lista B</t>
        </is>
      </c>
      <c r="C13" s="21" t="inlineStr">
        <is>
          <t>Regulador Buck 5.0V Conmutado</t>
        </is>
      </c>
      <c r="D13" s="21" t="inlineStr">
        <is>
          <t>Buck 5V COTS High-Ef</t>
        </is>
      </c>
      <c r="E13" s="21" t="inlineStr">
        <is>
          <t>Texas Instruments</t>
        </is>
      </c>
      <c r="F13" s="21" t="inlineStr">
        <is>
          <t>Buck 5.0V, 1.5A, Eficiencia &gt;92%</t>
        </is>
      </c>
      <c r="G13" s="21" t="inlineStr">
        <is>
          <t>Alimentación de Cámara OV2740 y Radio PA</t>
        </is>
      </c>
    </row>
    <row r="14">
      <c r="A14" s="22" t="inlineStr">
        <is>
          <t>4. Regulación y Distribución PMAD</t>
        </is>
      </c>
      <c r="B14" s="23" t="inlineStr">
        <is>
          <t>Lista B</t>
        </is>
      </c>
      <c r="C14" s="24" t="inlineStr">
        <is>
          <t>Load Switch Power-Gating DPU</t>
        </is>
      </c>
      <c r="D14" s="24" t="inlineStr">
        <is>
          <t>TPS2553DBVR</t>
        </is>
      </c>
      <c r="E14" s="24" t="inlineStr">
        <is>
          <t>Texas Instruments</t>
        </is>
      </c>
      <c r="F14" s="24" t="inlineStr">
        <is>
          <t>Conmutación 3.3V/5V vía GPIO</t>
        </is>
      </c>
      <c r="G14" s="24" t="inlineStr">
        <is>
          <t>Power-Gating intermitente DPU Zynq solo 4.5 min</t>
        </is>
      </c>
    </row>
    <row r="15">
      <c r="A15" s="19" t="inlineStr">
        <is>
          <t>5. Seguridad e Inhibición</t>
        </is>
      </c>
      <c r="B15" s="20" t="inlineStr">
        <is>
          <t>Lista A/B</t>
        </is>
      </c>
      <c r="C15" s="21" t="inlineStr">
        <is>
          <t>2x Plunger Switches Mecánicos</t>
        </is>
      </c>
      <c r="D15" s="21" t="inlineStr">
        <is>
          <t>Plunger Switch COTS 1U</t>
        </is>
      </c>
      <c r="E15" s="21" t="inlineStr">
        <is>
          <t>C&amp;K / Honeywell</t>
        </is>
      </c>
      <c r="F15" s="21" t="inlineStr">
        <is>
          <t>Interruptores normalmente abiertos en riel</t>
        </is>
      </c>
      <c r="G15" s="21" t="inlineStr">
        <is>
          <t>Inhibición física de energía dentro de P-POD (CDS 1U)</t>
        </is>
      </c>
    </row>
    <row r="16">
      <c r="A16" s="22" t="inlineStr">
        <is>
          <t>5. Seguridad e Inhibición</t>
        </is>
      </c>
      <c r="B16" s="23" t="inlineStr">
        <is>
          <t>Lista A/B</t>
        </is>
      </c>
      <c r="C16" s="24" t="inlineStr">
        <is>
          <t>Pin RBF (Remove Before Flight)</t>
        </is>
      </c>
      <c r="D16" s="24" t="inlineStr">
        <is>
          <t>Pin RBF COTS</t>
        </is>
      </c>
      <c r="E16" s="24" t="inlineStr">
        <is>
          <t>Custom / COTS 1U</t>
        </is>
      </c>
      <c r="F16" s="24" t="inlineStr">
        <is>
          <t>Conector de deshabilitación manual</t>
        </is>
      </c>
      <c r="G16" s="24" t="inlineStr">
        <is>
          <t>Inhibición manual pre-lanzamiento en rampa</t>
        </is>
      </c>
    </row>
    <row r="17">
      <c r="A17" s="19" t="inlineStr">
        <is>
          <t>5. Seguridad e Inhibición</t>
        </is>
      </c>
      <c r="B17" s="20" t="inlineStr">
        <is>
          <t>Lista B</t>
        </is>
      </c>
      <c r="C17" s="21" t="inlineStr">
        <is>
          <t>Limitadores LCL Sobrecorriente</t>
        </is>
      </c>
      <c r="D17" s="21" t="inlineStr">
        <is>
          <t>TPS2553DBVR (3x)</t>
        </is>
      </c>
      <c r="E17" s="21" t="inlineStr">
        <is>
          <t>Texas Instruments</t>
        </is>
      </c>
      <c r="F17" s="21" t="inlineStr">
        <is>
          <t>LCL ajustable 0.1-1.5A, SOT-23-6</t>
        </is>
      </c>
      <c r="G17" s="21" t="inlineStr">
        <is>
          <t>Protección contra SEL en rieles de 3.3V y 5.0V</t>
        </is>
      </c>
    </row>
    <row r="18">
      <c r="A18" s="22" t="inlineStr">
        <is>
          <t>5. Seguridad e Inhibición</t>
        </is>
      </c>
      <c r="B18" s="23" t="inlineStr">
        <is>
          <t>Lista B</t>
        </is>
      </c>
      <c r="C18" s="24" t="inlineStr">
        <is>
          <t>Diodos Supresión TVS</t>
        </is>
      </c>
      <c r="D18" s="24" t="inlineStr">
        <is>
          <t>SMAJ5.0A (4x)</t>
        </is>
      </c>
      <c r="E18" s="24" t="inlineStr">
        <is>
          <t>Littelfuse</t>
        </is>
      </c>
      <c r="F18" s="24" t="inlineStr">
        <is>
          <t>5.0V Unidireccional, DO-214AC</t>
        </is>
      </c>
      <c r="G18" s="24" t="inlineStr">
        <is>
          <t>Protección contra sobrevoltajes transitorios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2026-09-29T02:06:12Z</dcterms:created>
  <dcterms:modified xmlns:dcterms="http://purl.org/dc/terms/" xmlns:xsi="http://www.w3.org/2001/XMLSchema-instance" xsi:type="dcterms:W3CDTF">2026-10-14T13:11:27Z</dcterms:modified>
</cp:coreProperties>
</file>