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bjetivos_y_Parametros" sheetId="1" state="visible" r:id="rId1"/>
    <sheet xmlns:r="http://schemas.openxmlformats.org/officeDocument/2006/relationships" name="Listado_A_Componentes" sheetId="2" state="visible" r:id="rId2"/>
    <sheet xmlns:r="http://schemas.openxmlformats.org/officeDocument/2006/relationships" name="Listado_B_Componentes" sheetId="3" state="visible" r:id="rId3"/>
    <sheet xmlns:r="http://schemas.openxmlformats.org/officeDocument/2006/relationships" name="Matriz_Requisitos" sheetId="4" state="visible" r:id="rId4"/>
    <sheet xmlns:r="http://schemas.openxmlformats.org/officeDocument/2006/relationships" name="Espec_y_Trazabilidad" sheetId="5" state="visible" r:id="rId5"/>
    <sheet xmlns:r="http://schemas.openxmlformats.org/officeDocument/2006/relationships" name="Distribucion_HW_SW" sheetId="6" state="visible" r:id="rId6"/>
    <sheet xmlns:r="http://schemas.openxmlformats.org/officeDocument/2006/relationships" name="Alternativas_y_Decision" sheetId="7" state="visible" r:id="rId7"/>
    <sheet xmlns:r="http://schemas.openxmlformats.org/officeDocument/2006/relationships" name="Interfaces_ICD" sheetId="8" state="visible" r:id="rId8"/>
    <sheet xmlns:r="http://schemas.openxmlformats.org/officeDocument/2006/relationships" name="Presupuestos_Recursos" sheetId="9" state="visible" r:id="rId9"/>
    <sheet xmlns:r="http://schemas.openxmlformats.org/officeDocument/2006/relationships" name="Estimacion_PCB_Volume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  <fill>
      <patternFill patternType="solid">
        <fgColor rgb="00D6DCE4"/>
      </patternFill>
    </fill>
  </fills>
  <borders count="9">
    <border>
      <left/>
      <right/>
      <top/>
      <bottom/>
      <diagonal/>
    </border>
    <border>
      <bottom style="medium">
        <color rgb="00000000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top style="thin">
        <color rgb="00D9D9D9"/>
      </top>
      <bottom style="double">
        <color rgb="00000000"/>
      </bottom>
    </border>
    <border>
      <left/>
      <right/>
      <top style="thin">
        <color rgb="00D9D9D9"/>
      </top>
      <bottom style="double">
        <color rgb="00000000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2" pivotButton="0" quotePrefix="0" xfId="0"/>
    <xf numFmtId="0" fontId="5" fillId="0" borderId="2" pivotButton="0" quotePrefix="0" xfId="0"/>
    <xf numFmtId="0" fontId="0" fillId="0" borderId="5" pivotButton="0" quotePrefix="0" xfId="0"/>
    <xf numFmtId="0" fontId="0" fillId="0" borderId="6" pivotButton="0" quotePrefix="0" xfId="0"/>
    <xf numFmtId="0" fontId="5" fillId="0" borderId="2" applyAlignment="1" pivotButton="0" quotePrefix="0" xfId="0">
      <alignment horizontal="center" vertical="center" wrapText="1"/>
    </xf>
    <xf numFmtId="164" fontId="5" fillId="0" borderId="2" applyAlignment="1" pivotButton="0" quotePrefix="0" xfId="0">
      <alignment horizontal="center" vertical="center" wrapText="1"/>
    </xf>
    <xf numFmtId="0" fontId="4" fillId="0" borderId="7" pivotButton="0" quotePrefix="0" xfId="0"/>
    <xf numFmtId="164" fontId="4" fillId="0" borderId="7" applyAlignment="1" pivotButton="0" quotePrefix="0" xfId="0">
      <alignment horizontal="center" vertical="center" wrapText="1"/>
    </xf>
    <xf numFmtId="2" fontId="4" fillId="4" borderId="7" applyAlignment="1" pivotButton="0" quotePrefix="0" xfId="0">
      <alignment horizontal="center" vertical="center" wrapText="1"/>
    </xf>
    <xf numFmtId="2" fontId="4" fillId="5" borderId="7" applyAlignment="1" pivotButton="0" quotePrefix="0" xfId="0">
      <alignment horizontal="center" vertical="center" wrapText="1"/>
    </xf>
    <xf numFmtId="0" fontId="0" fillId="0" borderId="8" pivotButton="0" quotePrefix="0" xfId="0"/>
    <xf numFmtId="0" fontId="4" fillId="4" borderId="7" applyAlignment="1" pivotButton="0" quotePrefix="0" xfId="0">
      <alignment horizontal="center" vertical="center" wrapText="1"/>
    </xf>
    <xf numFmtId="0" fontId="5" fillId="0" borderId="7" pivotButton="0" quotePrefix="0" xfId="0"/>
    <xf numFmtId="0" fontId="4" fillId="0" borderId="7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CUBESAT UD34 - SUBSISTEMA DE COMUNICACIONES (TT&amp;C)</t>
        </is>
      </c>
    </row>
    <row r="2"/>
    <row r="3">
      <c r="A3" s="2" t="inlineStr">
        <is>
          <t>1. OBJETIVOS DEL SUBSISTEMA TT&amp;C</t>
        </is>
      </c>
    </row>
    <row r="4">
      <c r="A4" s="3" t="inlineStr">
        <is>
          <t>Tipo de Objetivo</t>
        </is>
      </c>
      <c r="B4" s="3" t="inlineStr">
        <is>
          <t>Descripción Detallada</t>
        </is>
      </c>
      <c r="C4" s="3" t="n"/>
      <c r="D4" s="3" t="n"/>
      <c r="E4" s="3" t="n"/>
    </row>
    <row r="5">
      <c r="A5" s="4" t="inlineStr">
        <is>
          <t>Objetivo Primario</t>
        </is>
      </c>
      <c r="B5" s="5" t="inlineStr">
        <is>
          <t>Establecer y mantener el enlace de bajada (Downlink en Banda S @ 2.4 GHz) a 1.0 Mbps para la transmisión de las imágenes multiespectrales comprimidas (1.04 MB/foto) hacia la Estación Terrena en Medellín.</t>
        </is>
      </c>
      <c r="C5" s="6" t="n"/>
      <c r="D5" s="6" t="n"/>
      <c r="E5" s="7" t="n"/>
    </row>
    <row r="6">
      <c r="A6" s="4" t="inlineStr">
        <is>
          <t>Objetivo Secundario</t>
        </is>
      </c>
      <c r="B6" s="5" t="inlineStr">
        <is>
          <t>Proporcionar el enlace de subida (Uplink en UHF @ 437 MHz / Banda S @ 2.0 GHz) a 9.6 kbps para la recepción segura de telecomandos y el envío continuo de la baliza de telemetría (Beacon HK).</t>
        </is>
      </c>
      <c r="C6" s="6" t="n"/>
      <c r="D6" s="6" t="n"/>
      <c r="E6" s="7" t="n"/>
    </row>
    <row r="7">
      <c r="A7" s="4" t="inlineStr">
        <is>
          <t>Objetivo Operativo</t>
        </is>
      </c>
      <c r="B7" s="5" t="inlineStr">
        <is>
          <t>Garantizar un presupuesto de enlace (Link Budget) con un margen &gt; +6.0 dB a 550 km de altitud, con un consumo de potencia controlado (&lt; 3.5 W Tx / 0.15 W Rx) e integración de antenas en la estructura 1U.</t>
        </is>
      </c>
      <c r="C7" s="6" t="n"/>
      <c r="D7" s="6" t="n"/>
      <c r="E7" s="7" t="n"/>
    </row>
    <row r="8"/>
    <row r="9">
      <c r="A9" s="2" t="inlineStr">
        <is>
          <t>2. PARÁMETROS TÉCNICOS CLAVE Y DIMENSIONAMIENTO ESPACIAL 1U</t>
        </is>
      </c>
    </row>
    <row r="10">
      <c r="A10" s="3" t="inlineStr">
        <is>
          <t>Parámetro Técnico</t>
        </is>
      </c>
      <c r="B10" s="3" t="inlineStr">
        <is>
          <t>Valor de Diseño / Especificación</t>
        </is>
      </c>
      <c r="C10" s="3" t="inlineStr">
        <is>
          <t>Justificación / Impacto en Misión</t>
        </is>
      </c>
      <c r="D10" s="3" t="n"/>
      <c r="E10" s="3" t="n"/>
    </row>
    <row r="11">
      <c r="A11" s="4" t="inlineStr">
        <is>
          <t>Banda de Frecuencia Downlink</t>
        </is>
      </c>
      <c r="B11" s="8" t="inlineStr">
        <is>
          <t>Banda S (2.40 - 2.45 GHz)</t>
        </is>
      </c>
      <c r="C11" s="5" t="inlineStr">
        <is>
          <t>Asignación IARU / ITU para observación terrestre</t>
        </is>
      </c>
      <c r="D11" s="6" t="n"/>
      <c r="E11" s="7" t="n"/>
    </row>
    <row r="12">
      <c r="A12" s="4" t="inlineStr">
        <is>
          <t>Banda de Frecuencia Uplink</t>
        </is>
      </c>
      <c r="B12" s="8" t="inlineStr">
        <is>
          <t>UHF (435 - 438 MHz) / Banda S (2.025 GHz)</t>
        </is>
      </c>
      <c r="C12" s="5" t="inlineStr">
        <is>
          <t>Recepción de telecomandos y telecomando de emergencia</t>
        </is>
      </c>
      <c r="D12" s="6" t="n"/>
      <c r="E12" s="7" t="n"/>
    </row>
    <row r="13">
      <c r="A13" s="4" t="inlineStr">
        <is>
          <t>Tasa de Datos Downlink (Data Rate)</t>
        </is>
      </c>
      <c r="B13" s="8" t="inlineStr">
        <is>
          <t>1.0 Mbps (Modulación QPSK / BPSK)</t>
        </is>
      </c>
      <c r="C13" s="5" t="inlineStr">
        <is>
          <t>Permite descargar 1 foto comprimida (1.04 MB) en 8.32 segundos</t>
        </is>
      </c>
      <c r="D13" s="6" t="n"/>
      <c r="E13" s="7" t="n"/>
    </row>
    <row r="14">
      <c r="A14" s="4" t="inlineStr">
        <is>
          <t>Tasa de Datos Uplink</t>
        </is>
      </c>
      <c r="B14" s="8" t="inlineStr">
        <is>
          <t>9.6 kbps (Modulación GFSK / FSK)</t>
        </is>
      </c>
      <c r="C14" s="5" t="inlineStr">
        <is>
          <t>Carga de planes de vuelo y comandos de control</t>
        </is>
      </c>
      <c r="D14" s="6" t="n"/>
      <c r="E14" s="7" t="n"/>
    </row>
    <row r="15">
      <c r="A15" s="4" t="inlineStr">
        <is>
          <t>Potencia de Salida RF (Tx Power)</t>
        </is>
      </c>
      <c r="B15" s="8" t="inlineStr">
        <is>
          <t>+27 dBm (0.5 W RF) a +30 dBm (1.0 W RF)</t>
        </is>
      </c>
      <c r="C15" s="5" t="inlineStr">
        <is>
          <t>Ajustable según elevación de la antena en la Estación Terrena</t>
        </is>
      </c>
      <c r="D15" s="6" t="n"/>
      <c r="E15" s="7" t="n"/>
    </row>
    <row r="16">
      <c r="A16" s="4" t="inlineStr">
        <is>
          <t>Sensibilidad del Receptor (Rx)</t>
        </is>
      </c>
      <c r="B16" s="8" t="inlineStr">
        <is>
          <t>-110 dBm @ 9.6 kbps</t>
        </is>
      </c>
      <c r="C16" s="5" t="inlineStr">
        <is>
          <t>Asegura recepción con bajo BER (&lt; 10^-6) en enlace ascendente</t>
        </is>
      </c>
      <c r="D16" s="6" t="n"/>
      <c r="E16" s="7" t="n"/>
    </row>
    <row r="17">
      <c r="A17" s="4" t="inlineStr">
        <is>
          <t>Consumo de Potencia Tx (Downlink)</t>
        </is>
      </c>
      <c r="B17" s="8" t="inlineStr">
        <is>
          <t>3.50 W P_elec (Eficiencia PA ~28%)</t>
        </is>
      </c>
      <c r="C17" s="5" t="inlineStr">
        <is>
          <t>Activo únicamente durante la pasada orbital sobre Medellín (~8.3 min)</t>
        </is>
      </c>
      <c r="D17" s="6" t="n"/>
      <c r="E17" s="7" t="n"/>
    </row>
    <row r="18">
      <c r="A18" s="4" t="inlineStr">
        <is>
          <t>Consumo de Potencia Rx (Standby)</t>
        </is>
      </c>
      <c r="B18" s="8" t="inlineStr">
        <is>
          <t>0.15 W P_elec (Modo Escucha Continuo)</t>
        </is>
      </c>
      <c r="C18" s="5" t="inlineStr">
        <is>
          <t>Operación Always-On para telemedida y baliza de supervivencia</t>
        </is>
      </c>
      <c r="D18" s="6" t="n"/>
      <c r="E18" s="7" t="n"/>
    </row>
    <row r="19">
      <c r="A19" s="4" t="inlineStr">
        <is>
          <t>Margen de Enlace (Link Margin)</t>
        </is>
      </c>
      <c r="B19" s="8" t="inlineStr">
        <is>
          <t>+8.4 dB @ 5° de elevación (Peor Caso)</t>
        </is>
      </c>
      <c r="C19" s="5" t="inlineStr">
        <is>
          <t>Supera holgadamente el requisito normativo ECSS (+6.0 dB)</t>
        </is>
      </c>
      <c r="D19" s="6" t="n"/>
      <c r="E19" s="7" t="n"/>
    </row>
    <row r="20">
      <c r="A20" s="4" t="inlineStr">
        <is>
          <t>Tipo de Antena Principal (Downlink)</t>
        </is>
      </c>
      <c r="B20" s="8" t="inlineStr">
        <is>
          <t>Antena Patch S-Band (Parche Cerámico)</t>
        </is>
      </c>
      <c r="C20" s="5" t="inlineStr">
        <is>
          <t>Montada flush sobre el panel externo Zenith (+Z) de 1U</t>
        </is>
      </c>
      <c r="D20" s="6" t="n"/>
      <c r="E20" s="7" t="n"/>
    </row>
    <row r="21">
      <c r="A21" s="4" t="inlineStr">
        <is>
          <t>Dimensiones de Antena Patch S-Band</t>
        </is>
      </c>
      <c r="B21" s="8" t="inlineStr">
        <is>
          <t>75.0 mm x 75.0 mm x 4.0 mm</t>
        </is>
      </c>
      <c r="C21" s="5" t="inlineStr">
        <is>
          <t>Integrada externamente sin consumir volumen de tarjeta interna</t>
        </is>
      </c>
      <c r="D21" s="6" t="n"/>
      <c r="E21" s="7" t="n"/>
    </row>
    <row r="22">
      <c r="A22" s="4" t="inlineStr">
        <is>
          <t>Tipo de Antena Secundaria (UHF/Beacon)</t>
        </is>
      </c>
      <c r="B22" s="8" t="inlineStr">
        <is>
          <t>Módulo Dipolo Plegable Deployable UHF</t>
        </is>
      </c>
      <c r="C22" s="5" t="inlineStr">
        <is>
          <t>Cinta métrica Beryllium-Copper retenida por hilo de Nicrom/Burn-wire</t>
        </is>
      </c>
      <c r="D22" s="6" t="n"/>
      <c r="E22" s="7" t="n"/>
    </row>
    <row r="23">
      <c r="A23" s="4" t="inlineStr">
        <is>
          <t>Ubicación Física del Transceptor</t>
        </is>
      </c>
      <c r="B23" s="8" t="inlineStr">
        <is>
          <t>Integrado en PCB 2 (Compartido con OBC/ADCS)</t>
        </is>
      </c>
      <c r="C23" s="5" t="inlineStr">
        <is>
          <t>Ahorra peso y conectores respecto a una PCB separada</t>
        </is>
      </c>
      <c r="D23" s="6" t="n"/>
      <c r="E23" s="7" t="n"/>
    </row>
    <row r="24">
      <c r="A24" s="4" t="inlineStr">
        <is>
          <t>Masa Total del Subsistema TT&amp;C</t>
        </is>
      </c>
      <c r="B24" s="8" t="inlineStr">
        <is>
          <t>65.0 g (Transceptor 35g + Patch 15g + Deployer 15g)</t>
        </is>
      </c>
      <c r="C24" s="5" t="inlineStr">
        <is>
          <t>Cumple límite de masa (&lt; 100 g para comunicaciones)</t>
        </is>
      </c>
      <c r="D24" s="6" t="n"/>
      <c r="E24" s="7" t="n"/>
    </row>
  </sheetData>
  <mergeCells count="22">
    <mergeCell ref="C16:E16"/>
    <mergeCell ref="B6:E6"/>
    <mergeCell ref="C22:E22"/>
    <mergeCell ref="A1:E1"/>
    <mergeCell ref="B5:E5"/>
    <mergeCell ref="C21:E21"/>
    <mergeCell ref="C12:E12"/>
    <mergeCell ref="C11:E11"/>
    <mergeCell ref="B4:E4"/>
    <mergeCell ref="C23:E23"/>
    <mergeCell ref="B7:E7"/>
    <mergeCell ref="C17:E17"/>
    <mergeCell ref="A3:E3"/>
    <mergeCell ref="C13:E13"/>
    <mergeCell ref="C19:E19"/>
    <mergeCell ref="C18:E18"/>
    <mergeCell ref="C15:E15"/>
    <mergeCell ref="C24:E24"/>
    <mergeCell ref="C14:E14"/>
    <mergeCell ref="C20:E20"/>
    <mergeCell ref="A9:E9"/>
    <mergeCell ref="C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27" customWidth="1" min="2" max="2"/>
    <col width="45" customWidth="1" min="3" max="3"/>
    <col width="31" customWidth="1" min="4" max="4"/>
    <col width="34" customWidth="1" min="5" max="5"/>
    <col width="40" customWidth="1" min="6" max="6"/>
    <col width="32" customWidth="1" min="7" max="7"/>
    <col width="45" customWidth="1" min="8" max="8"/>
    <col width="34" customWidth="1" min="9" max="9"/>
    <col width="12" customWidth="1" min="10" max="10"/>
  </cols>
  <sheetData>
    <row r="1">
      <c r="A1" s="1" t="inlineStr">
        <is>
          <t>CUBESAT UD34 - TT&amp;C: LISTADO A (COMPONENTES PRINCIPALES ACTIVOS)</t>
        </is>
      </c>
    </row>
    <row r="2"/>
    <row r="3">
      <c r="A3" s="3" t="inlineStr">
        <is>
          <t>Ref. Exacta COTS</t>
        </is>
      </c>
      <c r="B3" s="3" t="inlineStr">
        <is>
          <t>Fabricante</t>
        </is>
      </c>
      <c r="C3" s="3" t="inlineStr">
        <is>
          <t>Función Principal en TT&amp;C</t>
        </is>
      </c>
      <c r="D3" s="3" t="inlineStr">
        <is>
          <t>Interfaz / Protocolo</t>
        </is>
      </c>
      <c r="E3" s="3" t="inlineStr">
        <is>
          <t>Encapsulado</t>
        </is>
      </c>
      <c r="F3" s="3" t="inlineStr">
        <is>
          <t>Tensión / Consumo</t>
        </is>
      </c>
      <c r="G3" s="3" t="inlineStr">
        <is>
          <t>Requisito Cubierto</t>
        </is>
      </c>
      <c r="H3" s="3" t="inlineStr">
        <is>
          <t>Patrimonio de Vuelo / Referencia</t>
        </is>
      </c>
      <c r="I3" s="3" t="inlineStr">
        <is>
          <t>Ubicación en Satélite</t>
        </is>
      </c>
    </row>
    <row r="4">
      <c r="A4" s="4" t="inlineStr">
        <is>
          <t>AX5043-1-TA05</t>
        </is>
      </c>
      <c r="B4" s="5" t="inlineStr">
        <is>
          <t>ON Semiconductor / IEEE</t>
        </is>
      </c>
      <c r="C4" s="5" t="inlineStr">
        <is>
          <t>Transceptor RF Sub-GHz (UHF 437 MHz) de Ultra Bajo Consumo para Baliza y Uplink</t>
        </is>
      </c>
      <c r="D4" s="5" t="inlineStr">
        <is>
          <t>SPI (4-wire) + GPIO (IRQ)</t>
        </is>
      </c>
      <c r="E4" s="8" t="inlineStr">
        <is>
          <t>QFN-28 (5x5 mm)</t>
        </is>
      </c>
      <c r="F4" s="8" t="inlineStr">
        <is>
          <t>3.3V / 0.05W Rx, 0.45W Tx (+20dBm)</t>
        </is>
      </c>
      <c r="G4" s="5" t="inlineStr">
        <is>
          <t>RF-TTC-02, RNF-TTC-01</t>
        </is>
      </c>
      <c r="H4" s="5" t="inlineStr">
        <is>
          <t>Usado en &gt;50 CubeSats universitarios (QB50, LightSail, BugSat)</t>
        </is>
      </c>
      <c r="I4" s="5" t="inlineStr">
        <is>
          <t>PCB 2 (Sección RF)</t>
        </is>
      </c>
    </row>
    <row r="5">
      <c r="A5" s="4" t="inlineStr">
        <is>
          <t>SKY66112-11</t>
        </is>
      </c>
      <c r="B5" s="5" t="inlineStr">
        <is>
          <t>Skyworks Solutions</t>
        </is>
      </c>
      <c r="C5" s="5" t="inlineStr">
        <is>
          <t>Front-End Module (FEM) / Amplificador de Potencia (PA) S-Band 2.4 GHz</t>
        </is>
      </c>
      <c r="D5" s="5" t="inlineStr">
        <is>
          <t>GPIO (PA_EN, LNA_EN, CSD)</t>
        </is>
      </c>
      <c r="E5" s="8" t="inlineStr">
        <is>
          <t>MCM 22-pin (3.5x3.0 mm)</t>
        </is>
      </c>
      <c r="F5" s="8" t="inlineStr">
        <is>
          <t>3.3V - 5.0V / 2.80W @ +30dBm Tx</t>
        </is>
      </c>
      <c r="G5" s="5" t="inlineStr">
        <is>
          <t>RF-TTC-01, ET-TTC-03</t>
        </is>
      </c>
      <c r="H5" s="5" t="inlineStr">
        <is>
          <t>Estándar COTS en transceptores EnduroSat / ISISPACE S-Band</t>
        </is>
      </c>
      <c r="I5" s="5" t="inlineStr">
        <is>
          <t>PCB 2 (Sección Power RF)</t>
        </is>
      </c>
    </row>
    <row r="6">
      <c r="A6" s="4" t="inlineStr">
        <is>
          <t>CC1120RHMT</t>
        </is>
      </c>
      <c r="B6" s="5" t="inlineStr">
        <is>
          <t>Texas Instruments</t>
        </is>
      </c>
      <c r="C6" s="5" t="inlineStr">
        <is>
          <t>Transceptor RF Secundario Backup UHF/VHF</t>
        </is>
      </c>
      <c r="D6" s="5" t="inlineStr">
        <is>
          <t>SPI + GPIO</t>
        </is>
      </c>
      <c r="E6" s="8" t="inlineStr">
        <is>
          <t>VQFN-32 (5x5 mm)</t>
        </is>
      </c>
      <c r="F6" s="8" t="inlineStr">
        <is>
          <t>3.3V / 0.08W Rx, 0.50W Tx</t>
        </is>
      </c>
      <c r="G6" s="5" t="inlineStr">
        <is>
          <t>RF-TTC-05 (Redundancia)</t>
        </is>
      </c>
      <c r="H6" s="5" t="inlineStr">
        <is>
          <t>Ampliamente documentado en NASA SmallSat Comm SOA 2025</t>
        </is>
      </c>
      <c r="I6" s="5" t="inlineStr">
        <is>
          <t>PCB 2 (Sección Backup)</t>
        </is>
      </c>
    </row>
    <row r="7">
      <c r="A7" s="4" t="inlineStr">
        <is>
          <t>TCAN330GDR</t>
        </is>
      </c>
      <c r="B7" s="5" t="inlineStr">
        <is>
          <t>Texas Instruments</t>
        </is>
      </c>
      <c r="C7" s="5" t="inlineStr">
        <is>
          <t>Transceptor CAN Bus 3.3V para Interconexión con OBC y Bus General</t>
        </is>
      </c>
      <c r="D7" s="5" t="inlineStr">
        <is>
          <t>CAN 2.0B / CAN_H, CAN_L</t>
        </is>
      </c>
      <c r="E7" s="8" t="inlineStr">
        <is>
          <t>SOIC-8 (4.9x3.9 mm)</t>
        </is>
      </c>
      <c r="F7" s="8" t="inlineStr">
        <is>
          <t>3.3V / 15 mA (0.05 W)</t>
        </is>
      </c>
      <c r="G7" s="5" t="inlineStr">
        <is>
          <t>RF-TTC-04, IF-BUS-CAN</t>
        </is>
      </c>
      <c r="H7" s="5" t="inlineStr">
        <is>
          <t>Patrimonio COTS en misiones LEO (ECSS-E-ST-20-07C)</t>
        </is>
      </c>
      <c r="I7" s="5" t="inlineStr">
        <is>
          <t>PCB 2 (Interfaz Bus)</t>
        </is>
      </c>
    </row>
    <row r="8">
      <c r="A8" s="4" t="inlineStr">
        <is>
          <t>PE42420E-Z</t>
        </is>
      </c>
      <c r="B8" s="5" t="inlineStr">
        <is>
          <t>pSemi / Murata</t>
        </is>
      </c>
      <c r="C8" s="5" t="inlineStr">
        <is>
          <t>Conmutador RF SPDT Ultra-Bajo Tiempo de Conmutación (Tx/Rx Switch)</t>
        </is>
      </c>
      <c r="D8" s="5" t="inlineStr">
        <is>
          <t>GPIO Control (1.8V/3.3V)</t>
        </is>
      </c>
      <c r="E8" s="8" t="inlineStr">
        <is>
          <t>LGA-20 (3x3 mm)</t>
        </is>
      </c>
      <c r="F8" s="8" t="inlineStr">
        <is>
          <t>3.3V / 10 µA (Insignificante)</t>
        </is>
      </c>
      <c r="G8" s="5" t="inlineStr">
        <is>
          <t>RF-TTC-01, ET-TTC-04</t>
        </is>
      </c>
      <c r="H8" s="5" t="inlineStr">
        <is>
          <t>Calificado para espacio en módulos COTS EnduroSat</t>
        </is>
      </c>
      <c r="I8" s="5" t="inlineStr">
        <is>
          <t>PCB 2 (Sección RF Front-End)</t>
        </is>
      </c>
    </row>
    <row r="9">
      <c r="A9" s="4" t="inlineStr">
        <is>
          <t>TPS2553DBVR</t>
        </is>
      </c>
      <c r="B9" s="5" t="inlineStr">
        <is>
          <t>Texas Instruments</t>
        </is>
      </c>
      <c r="C9" s="5" t="inlineStr">
        <is>
          <t>Limitador de Corriente de Enclavamiento (LCL) / Power Switch con Auto-Reset</t>
        </is>
      </c>
      <c r="D9" s="5" t="inlineStr">
        <is>
          <t>GPIO (EN, FAULT_N)</t>
        </is>
      </c>
      <c r="E9" s="8" t="inlineStr">
        <is>
          <t>SOT-23-6 (2.9x1.6 mm)</t>
        </is>
      </c>
      <c r="F9" s="8" t="inlineStr">
        <is>
          <t>3.3V / 85 mΩ, I_limit = 1.2A</t>
        </is>
      </c>
      <c r="G9" s="5" t="inlineStr">
        <is>
          <t>RA-TTC-01, ECSS-E-ST-20C</t>
        </is>
      </c>
      <c r="H9" s="5" t="inlineStr">
        <is>
          <t>Protección contra SEL causada por radiación en LEO</t>
        </is>
      </c>
      <c r="I9" s="5" t="inlineStr">
        <is>
          <t>PCB 2 (Entrada Potencia RF)</t>
        </is>
      </c>
    </row>
    <row r="10">
      <c r="A10" s="4" t="inlineStr">
        <is>
          <t>EnduroSat S-Band Patch Ant</t>
        </is>
      </c>
      <c r="B10" s="5" t="inlineStr">
        <is>
          <t>EnduroSat / COTS</t>
        </is>
      </c>
      <c r="C10" s="5" t="inlineStr">
        <is>
          <t>Antena Parche Cerámica Banda S (2.4 GHz) con Polarización Circular (RHCP)</t>
        </is>
      </c>
      <c r="D10" s="5" t="inlineStr">
        <is>
          <t>Coaxial SMA / U.FL 50 Ω</t>
        </is>
      </c>
      <c r="E10" s="8" t="inlineStr">
        <is>
          <t>Estructura Parche (75x75x4 mm)</t>
        </is>
      </c>
      <c r="F10" s="8" t="inlineStr">
        <is>
          <t>Pasivo (Ganancia +6.0 dBi)</t>
        </is>
      </c>
      <c r="G10" s="5" t="inlineStr">
        <is>
          <t>RF-TTC-01, RNF-TTC-02</t>
        </is>
      </c>
      <c r="H10" s="5" t="inlineStr">
        <is>
          <t>Volo en &gt;100 CubeSats LEO (EnduroSat Heritage)</t>
        </is>
      </c>
      <c r="I10" s="5" t="inlineStr">
        <is>
          <t>Panel Exterior +Z Zenith</t>
        </is>
      </c>
    </row>
    <row r="11">
      <c r="A11" s="4" t="inlineStr">
        <is>
          <t>ISIS Deployable Dipole UHF</t>
        </is>
      </c>
      <c r="B11" s="5" t="inlineStr">
        <is>
          <t>ISISPACE / COTS</t>
        </is>
      </c>
      <c r="C11" s="5" t="inlineStr">
        <is>
          <t>Módulo de Antena Desplegable UHF (437 MHz) con Sistema Burn-Wire</t>
        </is>
      </c>
      <c r="D11" s="5" t="inlineStr">
        <is>
          <t>GPIO (Burn_EN) + Coaxial RF</t>
        </is>
      </c>
      <c r="E11" s="8" t="inlineStr">
        <is>
          <t>Estructura Marco (98x98x7 mm)</t>
        </is>
      </c>
      <c r="F11" s="8" t="inlineStr">
        <is>
          <t>3.3V / 0.5W durante 10s (Despliegue)</t>
        </is>
      </c>
      <c r="G11" s="5" t="inlineStr">
        <is>
          <t>RF-TTC-02, CDS Rev 14.1 §2.3</t>
        </is>
      </c>
      <c r="H11" s="5" t="inlineStr">
        <is>
          <t>Patrimonio de vuelo comprobado en misiones CubeSat 1U-3U</t>
        </is>
      </c>
      <c r="I11" s="5" t="inlineStr">
        <is>
          <t>Estructura Exterior Nadir (-Z)</t>
        </is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23" customWidth="1" min="2" max="2"/>
    <col width="45" customWidth="1" min="3" max="3"/>
    <col width="45" customWidth="1" min="4" max="4"/>
    <col width="12" customWidth="1" min="5" max="5"/>
    <col width="45" customWidth="1" min="6" max="6"/>
    <col width="33" customWidth="1" min="7" max="7"/>
    <col width="35" customWidth="1" min="8" max="8"/>
    <col width="12" customWidth="1" min="9" max="9"/>
    <col width="12" customWidth="1" min="10" max="10"/>
  </cols>
  <sheetData>
    <row r="1">
      <c r="A1" s="1" t="inlineStr">
        <is>
          <t>CUBESAT UD34 - TT&amp;C: LISTADO B (COMPONENTES PASIVOS, PROTECCIONES Y CONECTORES)</t>
        </is>
      </c>
    </row>
    <row r="2"/>
    <row r="3">
      <c r="A3" s="3" t="inlineStr">
        <is>
          <t>Ref. Exacta / Tipo</t>
        </is>
      </c>
      <c r="B3" s="3" t="inlineStr">
        <is>
          <t>Fabricante</t>
        </is>
      </c>
      <c r="C3" s="3" t="inlineStr">
        <is>
          <t>Descripción y Función Técnica</t>
        </is>
      </c>
      <c r="D3" s="3" t="inlineStr">
        <is>
          <t>Especificación Eléctrica / Mecánica</t>
        </is>
      </c>
      <c r="E3" s="3" t="inlineStr">
        <is>
          <t>Cantidad</t>
        </is>
      </c>
      <c r="F3" s="3" t="inlineStr">
        <is>
          <t>Propósito en TT&amp;C</t>
        </is>
      </c>
      <c r="G3" s="3" t="inlineStr">
        <is>
          <t>Norma / Criterio de Selección</t>
        </is>
      </c>
      <c r="H3" s="3" t="inlineStr">
        <is>
          <t>Ubicación en Tarjeta / Satélite</t>
        </is>
      </c>
    </row>
    <row r="4">
      <c r="A4" s="4" t="inlineStr">
        <is>
          <t>ESQ-126-12-G-D</t>
        </is>
      </c>
      <c r="B4" s="5" t="inlineStr">
        <is>
          <t>Samtec</t>
        </is>
      </c>
      <c r="C4" s="5" t="inlineStr">
        <is>
          <t>Conector de Bus de Expansión PC/104 de 52 Pines (2x26)</t>
        </is>
      </c>
      <c r="D4" s="5" t="inlineStr">
        <is>
          <t>Paso 2.54 mm, contactos bañados en oro 30 µin</t>
        </is>
      </c>
      <c r="E4" s="8" t="inlineStr">
        <is>
          <t>1</t>
        </is>
      </c>
      <c r="F4" s="5" t="inlineStr">
        <is>
          <t>Interconexión de alimentación (3.3V, 5V, V_BAT) y bus CAN con OBC/EPS</t>
        </is>
      </c>
      <c r="G4" s="5" t="inlineStr">
        <is>
          <t>CDS Rev 14.1 / PC104 Standard</t>
        </is>
      </c>
      <c r="H4" s="5" t="inlineStr">
        <is>
          <t>PCB 2 (Borde de Tarjeta)</t>
        </is>
      </c>
    </row>
    <row r="5">
      <c r="A5" s="4" t="inlineStr">
        <is>
          <t>U.FL-R-SMT-1(10)</t>
        </is>
      </c>
      <c r="B5" s="5" t="inlineStr">
        <is>
          <t>Hirose Electric</t>
        </is>
      </c>
      <c r="C5" s="5" t="inlineStr">
        <is>
          <t>Conector Micro Coaxial RF de Alta Frecuencia (DC - 6 GHz)</t>
        </is>
      </c>
      <c r="D5" s="5" t="inlineStr">
        <is>
          <t>Impedancia 50 Ω, ultra-compacto SMT</t>
        </is>
      </c>
      <c r="E5" s="8" t="inlineStr">
        <is>
          <t>3</t>
        </is>
      </c>
      <c r="F5" s="5" t="inlineStr">
        <is>
          <t>Conexión entre la salida RF de la PCB 2 y las antenas S-Band y UHF</t>
        </is>
      </c>
      <c r="G5" s="5" t="inlineStr">
        <is>
          <t>ECSS-E-ST-20C §5.4</t>
        </is>
      </c>
      <c r="H5" s="5" t="inlineStr">
        <is>
          <t>PCB 2 (Sección RF)</t>
        </is>
      </c>
    </row>
    <row r="6">
      <c r="A6" s="4" t="inlineStr">
        <is>
          <t>SMA-JACK-SMD</t>
        </is>
      </c>
      <c r="B6" s="5" t="inlineStr">
        <is>
          <t>Amphenol / COTS</t>
        </is>
      </c>
      <c r="C6" s="5" t="inlineStr">
        <is>
          <t>Conector SMA Hembra Angular SMT de Chasis para Pruebas en Laboratorio</t>
        </is>
      </c>
      <c r="D6" s="5" t="inlineStr">
        <is>
          <t>Impedancia 50 Ω, DC - 18 GHz</t>
        </is>
      </c>
      <c r="E6" s="8" t="inlineStr">
        <is>
          <t>1</t>
        </is>
      </c>
      <c r="F6" s="5" t="inlineStr">
        <is>
          <t>Permite conectar la DPU/TT&amp;C a equipos de prueba (EGSE / Analizador de Espectro)</t>
        </is>
      </c>
      <c r="G6" s="5" t="inlineStr">
        <is>
          <t>IPC-A-610 Class 3 Space</t>
        </is>
      </c>
      <c r="H6" s="5" t="inlineStr">
        <is>
          <t>PCB 2 (Borde Lateral)</t>
        </is>
      </c>
    </row>
    <row r="7">
      <c r="A7" s="4" t="inlineStr">
        <is>
          <t>BFCN-2432+</t>
        </is>
      </c>
      <c r="B7" s="5" t="inlineStr">
        <is>
          <t>Mini-Circuits</t>
        </is>
      </c>
      <c r="C7" s="5" t="inlineStr">
        <is>
          <t>Filtro Pasa-Banda RF S-Band (Bandpass Filter 2.4 - 2.5 GHz)</t>
        </is>
      </c>
      <c r="D7" s="5" t="inlineStr">
        <is>
          <t>Pérdida inserción &lt; 1.2 dB, atenuación fuera de banda &gt; 30 dB</t>
        </is>
      </c>
      <c r="E7" s="8" t="inlineStr">
        <is>
          <t>1</t>
        </is>
      </c>
      <c r="F7" s="5" t="inlineStr">
        <is>
          <t>Filtra armónicos y ruido fuera de banda antes del amplificador SKY66112</t>
        </is>
      </c>
      <c r="G7" s="5" t="inlineStr">
        <is>
          <t>ECSS-E-ST-20-07C EMC</t>
        </is>
      </c>
      <c r="H7" s="5" t="inlineStr">
        <is>
          <t>PCB 2 (Sección RF)</t>
        </is>
      </c>
    </row>
    <row r="8">
      <c r="A8" s="4" t="inlineStr">
        <is>
          <t>TPD4E001DRYR</t>
        </is>
      </c>
      <c r="B8" s="5" t="inlineStr">
        <is>
          <t>Texas Instruments</t>
        </is>
      </c>
      <c r="C8" s="5" t="inlineStr">
        <is>
          <t>Arreglo de Diodos ESD TVS de Bajo Retorno para Líneas RF/CAN</t>
        </is>
      </c>
      <c r="D8" s="5" t="inlineStr">
        <is>
          <t>Capacitancia parásita &lt; 1.5 pF, supresión ±15 kV Air / ±8 kV Contact</t>
        </is>
      </c>
      <c r="E8" s="8" t="inlineStr">
        <is>
          <t>2</t>
        </is>
      </c>
      <c r="F8" s="5" t="inlineStr">
        <is>
          <t>Protección contra descargas electrostáticas durante integración y operación</t>
        </is>
      </c>
      <c r="G8" s="5" t="inlineStr">
        <is>
          <t>ECSS-E-ST-20-07C</t>
        </is>
      </c>
      <c r="H8" s="5" t="inlineStr">
        <is>
          <t>PCB 2 (Entradas RF y CAN)</t>
        </is>
      </c>
    </row>
    <row r="9">
      <c r="A9" s="4" t="inlineStr">
        <is>
          <t>SMAJ5.0A</t>
        </is>
      </c>
      <c r="B9" s="5" t="inlineStr">
        <is>
          <t>Littelfuse / Vishay</t>
        </is>
      </c>
      <c r="C9" s="5" t="inlineStr">
        <is>
          <t>Diodo TVS Unidireccional de Potencia en Línea de Entrada de Voltaje</t>
        </is>
      </c>
      <c r="D9" s="5" t="inlineStr">
        <is>
          <t>V_RWM = 5.0V, V_BR = 6.4V, Potencia Pico 400W</t>
        </is>
      </c>
      <c r="E9" s="8" t="inlineStr">
        <is>
          <t>1</t>
        </is>
      </c>
      <c r="F9" s="5" t="inlineStr">
        <is>
          <t>Absorbe picos de sobrevoltaje en el riel de alimentación del PA</t>
        </is>
      </c>
      <c r="G9" s="5" t="inlineStr">
        <is>
          <t>ECSS-E-ST-20C</t>
        </is>
      </c>
      <c r="H9" s="5" t="inlineStr">
        <is>
          <t>PCB 2 (Entrada 5V PA)</t>
        </is>
      </c>
    </row>
    <row r="10">
      <c r="A10" s="4" t="inlineStr">
        <is>
          <t>BLM18HE152SN1D</t>
        </is>
      </c>
      <c r="B10" s="5" t="inlineStr">
        <is>
          <t>Murata</t>
        </is>
      </c>
      <c r="C10" s="5" t="inlineStr">
        <is>
          <t>Cuenta de Ferrita para Supresión de Ruido de Alta Frecuencia (Ferrite Bead)</t>
        </is>
      </c>
      <c r="D10" s="5" t="inlineStr">
        <is>
          <t>Impedancia 1500 Ω @ 100 MHz, I_max = 1.5 A, EIA 0603</t>
        </is>
      </c>
      <c r="E10" s="8" t="inlineStr">
        <is>
          <t>4</t>
        </is>
      </c>
      <c r="F10" s="5" t="inlineStr">
        <is>
          <t>Aislamiento de ruído entre el regulador conmutado Buck y la etapa RF sensible</t>
        </is>
      </c>
      <c r="G10" s="5" t="inlineStr">
        <is>
          <t>ECSS-E-ST-20-07C</t>
        </is>
      </c>
      <c r="H10" s="5" t="inlineStr">
        <is>
          <t>PCB 2 (Filtro Pi Alimentación)</t>
        </is>
      </c>
    </row>
    <row r="11">
      <c r="A11" s="4" t="inlineStr">
        <is>
          <t>GRM188R71C105KA12D</t>
        </is>
      </c>
      <c r="B11" s="5" t="inlineStr">
        <is>
          <t>Murata</t>
        </is>
      </c>
      <c r="C11" s="5" t="inlineStr">
        <is>
          <t>Capacitores Cerámicos SMD 1 µF 16V X7R EIA 0603</t>
        </is>
      </c>
      <c r="D11" s="5" t="inlineStr">
        <is>
          <t>Dieléctrico X7R, tolerancia ±10%, calificado -55°C a +125°C</t>
        </is>
      </c>
      <c r="E11" s="8" t="inlineStr">
        <is>
          <t>12</t>
        </is>
      </c>
      <c r="F11" s="5" t="inlineStr">
        <is>
          <t>Desacoplamiento de alta frecuencia en pines de alimentación RF y CI</t>
        </is>
      </c>
      <c r="G11" s="5" t="inlineStr">
        <is>
          <t>ECSS-Q-ST-70-12C</t>
        </is>
      </c>
      <c r="H11" s="5" t="inlineStr">
        <is>
          <t>PCB 2 (Distribuidos)</t>
        </is>
      </c>
    </row>
    <row r="12">
      <c r="A12" s="4" t="inlineStr">
        <is>
          <t>RK73H1ETTP1000F</t>
        </is>
      </c>
      <c r="B12" s="5" t="inlineStr">
        <is>
          <t>KOA Speer / Vishay</t>
        </is>
      </c>
      <c r="C12" s="5" t="inlineStr">
        <is>
          <t>Resistencias de Película Gruesa SMD 100 Ω 1% 0402</t>
        </is>
      </c>
      <c r="D12" s="5" t="inlineStr">
        <is>
          <t>Potencia 0.063 W, TCR ±100 ppm/°C, EIA 0402</t>
        </is>
      </c>
      <c r="E12" s="8" t="inlineStr">
        <is>
          <t>4</t>
        </is>
      </c>
      <c r="F12" s="5" t="inlineStr">
        <is>
          <t>Terminación de líneas diferenciales y polarización de entradas digitales</t>
        </is>
      </c>
      <c r="G12" s="5" t="inlineStr">
        <is>
          <t>ECSS-Q-ST-70-12C</t>
        </is>
      </c>
      <c r="H12" s="5" t="inlineStr">
        <is>
          <t>PCB 2 (Cerca de CI)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45" customWidth="1" min="3" max="3"/>
    <col width="37" customWidth="1" min="4" max="4"/>
    <col width="45" customWidth="1" min="5" max="5"/>
    <col width="26" customWidth="1" min="6" max="6"/>
    <col width="27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CUBESAT UD34 - TT&amp;C: MATRIZ DE REQUISITOS DEL SUBSISTEMA</t>
        </is>
      </c>
    </row>
    <row r="2"/>
    <row r="3">
      <c r="A3" s="3" t="inlineStr">
        <is>
          <t>ID Requisito</t>
        </is>
      </c>
      <c r="B3" s="3" t="inlineStr">
        <is>
          <t>Tipo</t>
        </is>
      </c>
      <c r="C3" s="3" t="inlineStr">
        <is>
          <t>Nombre / Descripción del Requisito</t>
        </is>
      </c>
      <c r="D3" s="3" t="inlineStr">
        <is>
          <t>Parámetro Cuantitativo</t>
        </is>
      </c>
      <c r="E3" s="3" t="inlineStr">
        <is>
          <t>Criterio de Aceptación</t>
        </is>
      </c>
      <c r="F3" s="3" t="inlineStr">
        <is>
          <t>Método Verificación</t>
        </is>
      </c>
      <c r="G3" s="3" t="inlineStr">
        <is>
          <t>Requisito Origen</t>
        </is>
      </c>
    </row>
    <row r="4">
      <c r="A4" s="4" t="inlineStr">
        <is>
          <t>RF-TTC-01</t>
        </is>
      </c>
      <c r="B4" s="8" t="inlineStr">
        <is>
          <t>Funcional</t>
        </is>
      </c>
      <c r="C4" s="5" t="inlineStr">
        <is>
          <t>Descarga de Imágenes (Downlink Banda S)</t>
        </is>
      </c>
      <c r="D4" s="5" t="inlineStr">
        <is>
          <t>Tasa ≥ 1.0 Mbps @ 2.4 GHz</t>
        </is>
      </c>
      <c r="E4" s="5" t="inlineStr">
        <is>
          <t>Descargar 1 foto (1.04 MB) en &lt; 10 s sobre Medellín</t>
        </is>
      </c>
      <c r="F4" s="8" t="inlineStr">
        <is>
          <t>Prueba de Campo / EGSE</t>
        </is>
      </c>
      <c r="G4" s="5" t="inlineStr">
        <is>
          <t>Proyecto UD34 §3.1</t>
        </is>
      </c>
    </row>
    <row r="5">
      <c r="A5" s="4" t="inlineStr">
        <is>
          <t>RF-TTC-02</t>
        </is>
      </c>
      <c r="B5" s="8" t="inlineStr">
        <is>
          <t>Funcional</t>
        </is>
      </c>
      <c r="C5" s="5" t="inlineStr">
        <is>
          <t>Recepción de Telecomandos (Uplink)</t>
        </is>
      </c>
      <c r="D5" s="5" t="inlineStr">
        <is>
          <t>Tasa 9.6 kbps @ 437 MHz / 2.0 GHz</t>
        </is>
      </c>
      <c r="E5" s="5" t="inlineStr">
        <is>
          <t>BER &lt; 10^-6 con potencia de tierra de 10 W</t>
        </is>
      </c>
      <c r="F5" s="8" t="inlineStr">
        <is>
          <t>Simulación / Prueba RF</t>
        </is>
      </c>
      <c r="G5" s="5" t="inlineStr">
        <is>
          <t>Proyecto UD34 §3.2</t>
        </is>
      </c>
    </row>
    <row r="6">
      <c r="A6" s="4" t="inlineStr">
        <is>
          <t>RF-TTC-03</t>
        </is>
      </c>
      <c r="B6" s="8" t="inlineStr">
        <is>
          <t>Funcional</t>
        </is>
      </c>
      <c r="C6" s="5" t="inlineStr">
        <is>
          <t>Transmisión de Baliza de Telemetría (Beacon)</t>
        </is>
      </c>
      <c r="D6" s="5" t="inlineStr">
        <is>
          <t>Intervalo de 30 s en modo nominal</t>
        </is>
      </c>
      <c r="E6" s="5" t="inlineStr">
        <is>
          <t>Mensaje AX.25 / CSP transmitido con P_out ≥ +20 dBm</t>
        </is>
      </c>
      <c r="F6" s="8" t="inlineStr">
        <is>
          <t>Inspección / Prueba</t>
        </is>
      </c>
      <c r="G6" s="5" t="inlineStr">
        <is>
          <t>lab003_2598575 §4</t>
        </is>
      </c>
    </row>
    <row r="7">
      <c r="A7" s="4" t="inlineStr">
        <is>
          <t>RF-TTC-04</t>
        </is>
      </c>
      <c r="B7" s="8" t="inlineStr">
        <is>
          <t>Funcional</t>
        </is>
      </c>
      <c r="C7" s="5" t="inlineStr">
        <is>
          <t>Interfaz con Bus de Datos del Satélite</t>
        </is>
      </c>
      <c r="D7" s="5" t="inlineStr">
        <is>
          <t>Bus CAN 2.0B @ 1.0 Mbps</t>
        </is>
      </c>
      <c r="E7" s="5" t="inlineStr">
        <is>
          <t>Comunicación bidireccional continua con OBC y EPS</t>
        </is>
      </c>
      <c r="F7" s="8" t="inlineStr">
        <is>
          <t>Prueba de Protocolo</t>
        </is>
      </c>
      <c r="G7" s="5" t="inlineStr">
        <is>
          <t>lab003_2598575 §4.2</t>
        </is>
      </c>
    </row>
    <row r="8">
      <c r="A8" s="4" t="inlineStr">
        <is>
          <t>RF-TTC-05</t>
        </is>
      </c>
      <c r="B8" s="8" t="inlineStr">
        <is>
          <t>Funcional</t>
        </is>
      </c>
      <c r="C8" s="5" t="inlineStr">
        <is>
          <t>Redundancia en Transcepción</t>
        </is>
      </c>
      <c r="D8" s="5" t="inlineStr">
        <is>
          <t>Canal secundario UHF Backup</t>
        </is>
      </c>
      <c r="E8" s="5" t="inlineStr">
        <is>
          <t>Activación automática si el enlace Banda S falla por 3 órbitas</t>
        </is>
      </c>
      <c r="F8" s="8" t="inlineStr">
        <is>
          <t>Prueba FMEA / SW</t>
        </is>
      </c>
      <c r="G8" s="5" t="inlineStr">
        <is>
          <t>NASA SmallSat SOA</t>
        </is>
      </c>
    </row>
    <row r="9">
      <c r="A9" s="4" t="inlineStr">
        <is>
          <t>RNF-TTC-01</t>
        </is>
      </c>
      <c r="B9" s="8" t="inlineStr">
        <is>
          <t>No Funcional</t>
        </is>
      </c>
      <c r="C9" s="5" t="inlineStr">
        <is>
          <t>Consumo Eléctrico Promedio</t>
        </is>
      </c>
      <c r="D9" s="5" t="inlineStr">
        <is>
          <t>Consumo Tx ≤ 3.5 W / Rx ≤ 0.15 W</t>
        </is>
      </c>
      <c r="E9" s="5" t="inlineStr">
        <is>
          <t>P_promedio por órbita ≤ 0.52 Wh</t>
        </is>
      </c>
      <c r="F9" s="8" t="inlineStr">
        <is>
          <t>Medición de Corriente</t>
        </is>
      </c>
      <c r="G9" s="5" t="inlineStr">
        <is>
          <t>Proyecto UD34 §4</t>
        </is>
      </c>
    </row>
    <row r="10">
      <c r="A10" s="4" t="inlineStr">
        <is>
          <t>RNF-TTC-02</t>
        </is>
      </c>
      <c r="B10" s="8" t="inlineStr">
        <is>
          <t>No Funcional</t>
        </is>
      </c>
      <c r="C10" s="5" t="inlineStr">
        <is>
          <t>Margen de Enlace RF (Link Margin)</t>
        </is>
      </c>
      <c r="D10" s="5" t="inlineStr">
        <is>
          <t>Margen ≥ +6.0 dB</t>
        </is>
      </c>
      <c r="E10" s="5" t="inlineStr">
        <is>
          <t>Margen calculado en peor caso (elevación 5°) ≥ +8.4 dB</t>
        </is>
      </c>
      <c r="F10" s="8" t="inlineStr">
        <is>
          <t>Análisis Link Budget</t>
        </is>
      </c>
      <c r="G10" s="5" t="inlineStr">
        <is>
          <t>ECSS-E-ST-50C</t>
        </is>
      </c>
    </row>
    <row r="11">
      <c r="A11" s="4" t="inlineStr">
        <is>
          <t>RNF-TTC-03</t>
        </is>
      </c>
      <c r="B11" s="8" t="inlineStr">
        <is>
          <t>No Funcional</t>
        </is>
      </c>
      <c r="C11" s="5" t="inlineStr">
        <is>
          <t>Masa Total del Subsistema</t>
        </is>
      </c>
      <c r="D11" s="5" t="inlineStr">
        <is>
          <t>Masa ≤ 100.0 g</t>
        </is>
      </c>
      <c r="E11" s="5" t="inlineStr">
        <is>
          <t>Masa medida de transceptor + antenas = 65.0 g</t>
        </is>
      </c>
      <c r="F11" s="8" t="inlineStr">
        <is>
          <t>Pesaje Estático</t>
        </is>
      </c>
      <c r="G11" s="5" t="inlineStr">
        <is>
          <t>CDS Rev 14.1 §3</t>
        </is>
      </c>
    </row>
    <row r="12">
      <c r="A12" s="4" t="inlineStr">
        <is>
          <t>RA-TTC-01</t>
        </is>
      </c>
      <c r="B12" s="8" t="inlineStr">
        <is>
          <t>Ambiental</t>
        </is>
      </c>
      <c r="C12" s="5" t="inlineStr">
        <is>
          <t>Operación Térmica en Vacío</t>
        </is>
      </c>
      <c r="D12" s="5" t="inlineStr">
        <is>
          <t>Rango -20 °C a +70 °C</t>
        </is>
      </c>
      <c r="E12" s="5" t="inlineStr">
        <is>
          <t>Sin degradación de potencia RF ni deriva de frecuencia</t>
        </is>
      </c>
      <c r="F12" s="8" t="inlineStr">
        <is>
          <t>Thermal Vacuum (TVAC)</t>
        </is>
      </c>
      <c r="G12" s="5" t="inlineStr">
        <is>
          <t>ECSS-E-ST-10-04C</t>
        </is>
      </c>
    </row>
    <row r="13">
      <c r="A13" s="4" t="inlineStr">
        <is>
          <t>RA-TTC-02</t>
        </is>
      </c>
      <c r="B13" s="8" t="inlineStr">
        <is>
          <t>Ambiental</t>
        </is>
      </c>
      <c r="C13" s="5" t="inlineStr">
        <is>
          <t>Resistencia a Vibraciones de Lanzamiento</t>
        </is>
      </c>
      <c r="D13" s="5" t="inlineStr">
        <is>
          <t>Aceleración 14.1 g RMS (Random)</t>
        </is>
      </c>
      <c r="E13" s="5" t="inlineStr">
        <is>
          <t>Sin fallas mecánicas en conectores SMA/U.FL ni desprendimiento</t>
        </is>
      </c>
      <c r="F13" s="8" t="inlineStr">
        <is>
          <t>Prueba de Vibración</t>
        </is>
      </c>
      <c r="G13" s="5" t="inlineStr">
        <is>
          <t>CDS Rev 14.1 §2.4</t>
        </is>
      </c>
    </row>
    <row r="14">
      <c r="A14" s="4" t="inlineStr">
        <is>
          <t>RN-TTC-01</t>
        </is>
      </c>
      <c r="B14" s="8" t="inlineStr">
        <is>
          <t>Normativo</t>
        </is>
      </c>
      <c r="C14" s="5" t="inlineStr">
        <is>
          <t>Cumplimiento de Regulaciones Espectrales</t>
        </is>
      </c>
      <c r="D14" s="5" t="inlineStr">
        <is>
          <t>Ancho de banda ocupado según ITU</t>
        </is>
      </c>
      <c r="E14" s="5" t="inlineStr">
        <is>
          <t>Licencia de frecuencia IARU / MinTIC obtenida para 2.4 GHz</t>
        </is>
      </c>
      <c r="F14" s="8" t="inlineStr">
        <is>
          <t>Documentación / Test</t>
        </is>
      </c>
      <c r="G14" s="5" t="inlineStr">
        <is>
          <t>ITU Radio Reg. / MinTIC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33" customWidth="1" min="2" max="2"/>
    <col width="26" customWidth="1" min="3" max="3"/>
    <col width="31" customWidth="1" min="4" max="4"/>
    <col width="25" customWidth="1" min="5" max="5"/>
    <col width="29" customWidth="1" min="6" max="6"/>
    <col width="38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CUBESAT UD34 - TT&amp;C: ESPECIFICACIONES TÉCNICAS Y TRAZABILIDAD</t>
        </is>
      </c>
    </row>
    <row r="2"/>
    <row r="3">
      <c r="A3" s="3" t="inlineStr">
        <is>
          <t>ID Espec.</t>
        </is>
      </c>
      <c r="B3" s="3" t="inlineStr">
        <is>
          <t>Parámetro Especificado</t>
        </is>
      </c>
      <c r="C3" s="3" t="inlineStr">
        <is>
          <t>Valor Nominal</t>
        </is>
      </c>
      <c r="D3" s="3" t="inlineStr">
        <is>
          <t>Tolerancia / Límite</t>
        </is>
      </c>
      <c r="E3" s="3" t="inlineStr">
        <is>
          <t>Requisito Origen</t>
        </is>
      </c>
      <c r="F3" s="3" t="inlineStr">
        <is>
          <t>Componente Asociado</t>
        </is>
      </c>
      <c r="G3" s="3" t="inlineStr">
        <is>
          <t>Margen de Diseño</t>
        </is>
      </c>
    </row>
    <row r="4">
      <c r="A4" s="4" t="inlineStr">
        <is>
          <t>ET-TTC-01</t>
        </is>
      </c>
      <c r="B4" s="5" t="inlineStr">
        <is>
          <t>Frecuencia Portadora Downlink</t>
        </is>
      </c>
      <c r="C4" s="8" t="inlineStr">
        <is>
          <t>2420.0 MHz (Banda S)</t>
        </is>
      </c>
      <c r="D4" s="8" t="inlineStr">
        <is>
          <t>± 10 kHz (Estabilidad MEMS)</t>
        </is>
      </c>
      <c r="E4" s="5" t="inlineStr">
        <is>
          <t>RF-TTC-01</t>
        </is>
      </c>
      <c r="F4" s="5" t="inlineStr">
        <is>
          <t>AX5043 / Front-End S-Band</t>
        </is>
      </c>
      <c r="G4" s="8" t="inlineStr">
        <is>
          <t>+100% Dentro de banda IARU</t>
        </is>
      </c>
    </row>
    <row r="5">
      <c r="A5" s="4" t="inlineStr">
        <is>
          <t>ET-TTC-02</t>
        </is>
      </c>
      <c r="B5" s="5" t="inlineStr">
        <is>
          <t>Tasa de Transmisión Downlink</t>
        </is>
      </c>
      <c r="C5" s="8" t="inlineStr">
        <is>
          <t>1000 kbps (1.0 Mbps)</t>
        </is>
      </c>
      <c r="D5" s="8" t="inlineStr">
        <is>
          <t>Nominal (Modulación QPSK)</t>
        </is>
      </c>
      <c r="E5" s="5" t="inlineStr">
        <is>
          <t>RF-TTC-01</t>
        </is>
      </c>
      <c r="F5" s="5" t="inlineStr">
        <is>
          <t>AX5043 + FPGA DPU</t>
        </is>
      </c>
      <c r="G5" s="8" t="inlineStr">
        <is>
          <t>1 foto en 8.32 s vs 500 s ventana</t>
        </is>
      </c>
    </row>
    <row r="6">
      <c r="A6" s="4" t="inlineStr">
        <is>
          <t>ET-TTC-03</t>
        </is>
      </c>
      <c r="B6" s="5" t="inlineStr">
        <is>
          <t>Potencia de Salida RF (P_out)</t>
        </is>
      </c>
      <c r="C6" s="8" t="inlineStr">
        <is>
          <t>+30.0 dBm (1.0 W RF)</t>
        </is>
      </c>
      <c r="D6" s="8" t="inlineStr">
        <is>
          <t>± 0.5 dBm</t>
        </is>
      </c>
      <c r="E6" s="5" t="inlineStr">
        <is>
          <t>RF-TTC-01, RNF-TTC-02</t>
        </is>
      </c>
      <c r="F6" s="5" t="inlineStr">
        <is>
          <t>SKY66112-11 PA</t>
        </is>
      </c>
      <c r="G6" s="8" t="inlineStr">
        <is>
          <t>Margen +2.4 dB sobre +27.6 dBm req</t>
        </is>
      </c>
    </row>
    <row r="7">
      <c r="A7" s="4" t="inlineStr">
        <is>
          <t>ET-TTC-04</t>
        </is>
      </c>
      <c r="B7" s="5" t="inlineStr">
        <is>
          <t>Sensibilidad Receptor (Rx)</t>
        </is>
      </c>
      <c r="C7" s="8" t="inlineStr">
        <is>
          <t>-110.0 dBm</t>
        </is>
      </c>
      <c r="D7" s="8" t="inlineStr">
        <is>
          <t>Máximo -105.0 dBm</t>
        </is>
      </c>
      <c r="E7" s="5" t="inlineStr">
        <is>
          <t>RF-TTC-02</t>
        </is>
      </c>
      <c r="F7" s="5" t="inlineStr">
        <is>
          <t>AX5043 / CC1120</t>
        </is>
      </c>
      <c r="G7" s="8" t="inlineStr">
        <is>
          <t>Margen +15 dB sobre señal recibida</t>
        </is>
      </c>
    </row>
    <row r="8">
      <c r="A8" s="4" t="inlineStr">
        <is>
          <t>ET-TTC-05</t>
        </is>
      </c>
      <c r="B8" s="5" t="inlineStr">
        <is>
          <t>Ganancia Antena Patch S-Band</t>
        </is>
      </c>
      <c r="C8" s="8" t="inlineStr">
        <is>
          <t>+6.0 dBi (Zenith RHCP)</t>
        </is>
      </c>
      <c r="D8" s="8" t="inlineStr">
        <is>
          <t>± 0.5 dBi</t>
        </is>
      </c>
      <c r="E8" s="5" t="inlineStr">
        <is>
          <t>RNF-TTC-02</t>
        </is>
      </c>
      <c r="F8" s="5" t="inlineStr">
        <is>
          <t>EnduroSat Patch Antenna</t>
        </is>
      </c>
      <c r="G8" s="8" t="inlineStr">
        <is>
          <t>Patrón hemisférico amplio (&gt; 120°)</t>
        </is>
      </c>
    </row>
    <row r="9">
      <c r="A9" s="4" t="inlineStr">
        <is>
          <t>ET-TTC-06</t>
        </is>
      </c>
      <c r="B9" s="5" t="inlineStr">
        <is>
          <t>Consumo Eléctrico Modo Tx</t>
        </is>
      </c>
      <c r="C9" s="8" t="inlineStr">
        <is>
          <t>3.50 W</t>
        </is>
      </c>
      <c r="D9" s="8" t="inlineStr">
        <is>
          <t>Máximo 4.00 W</t>
        </is>
      </c>
      <c r="E9" s="5" t="inlineStr">
        <is>
          <t>RNF-TTC-01</t>
        </is>
      </c>
      <c r="F9" s="5" t="inlineStr">
        <is>
          <t>SKY66112 PA + Transceptor</t>
        </is>
      </c>
      <c r="G9" s="8" t="inlineStr">
        <is>
          <t>Margen 12.5% sobre límite EPS</t>
        </is>
      </c>
    </row>
    <row r="10">
      <c r="A10" s="4" t="inlineStr">
        <is>
          <t>ET-TTC-07</t>
        </is>
      </c>
      <c r="B10" s="5" t="inlineStr">
        <is>
          <t>Consumo Eléctrico Modo Rx</t>
        </is>
      </c>
      <c r="C10" s="8" t="inlineStr">
        <is>
          <t>0.15 W</t>
        </is>
      </c>
      <c r="D10" s="8" t="inlineStr">
        <is>
          <t>Máximo 0.20 W</t>
        </is>
      </c>
      <c r="E10" s="5" t="inlineStr">
        <is>
          <t>RNF-TTC-01</t>
        </is>
      </c>
      <c r="F10" s="5" t="inlineStr">
        <is>
          <t>AX5043 (Modo Escucha)</t>
        </is>
      </c>
      <c r="G10" s="8" t="inlineStr">
        <is>
          <t>Margen 25.0% sobre límite</t>
        </is>
      </c>
    </row>
    <row r="11">
      <c r="A11" s="4" t="inlineStr">
        <is>
          <t>ET-TTC-08</t>
        </is>
      </c>
      <c r="B11" s="5" t="inlineStr">
        <is>
          <t>Masa Total del Subsistema</t>
        </is>
      </c>
      <c r="C11" s="8" t="inlineStr">
        <is>
          <t>65.0 g</t>
        </is>
      </c>
      <c r="D11" s="8" t="inlineStr">
        <is>
          <t>Máximo 100.0 g</t>
        </is>
      </c>
      <c r="E11" s="5" t="inlineStr">
        <is>
          <t>RNF-TTC-03</t>
        </is>
      </c>
      <c r="F11" s="5" t="inlineStr">
        <is>
          <t>Transceptor + Antenas</t>
        </is>
      </c>
      <c r="G11" s="8" t="inlineStr">
        <is>
          <t>Margen 35.0% (35 g libres)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9" customWidth="1" min="2" max="2"/>
    <col width="50" customWidth="1" min="3" max="3"/>
    <col width="50" customWidth="1" min="4" max="4"/>
    <col width="50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CUBESAT UD34 - TT&amp;C: DISTRIBUCIÓN DE FUNCIONES HARDWARE / SOFTWARE</t>
        </is>
      </c>
    </row>
    <row r="2"/>
    <row r="3">
      <c r="A3" s="3" t="inlineStr">
        <is>
          <t>Función Operativa</t>
        </is>
      </c>
      <c r="B3" s="3" t="inlineStr">
        <is>
          <t>Clasificación</t>
        </is>
      </c>
      <c r="C3" s="3" t="inlineStr">
        <is>
          <t>Elemento Ejecutor</t>
        </is>
      </c>
      <c r="D3" s="3" t="inlineStr">
        <is>
          <t>Descripción de la Implementación</t>
        </is>
      </c>
      <c r="E3" s="3" t="inlineStr">
        <is>
          <t>Justificación Trazable</t>
        </is>
      </c>
    </row>
    <row r="4">
      <c r="A4" s="4" t="inlineStr">
        <is>
          <t>Modulación / Demodulación RF (QPSK/GFSK)</t>
        </is>
      </c>
      <c r="B4" s="8" t="inlineStr">
        <is>
          <t>Hardware Puro</t>
        </is>
      </c>
      <c r="C4" s="5" t="inlineStr">
        <is>
          <t>CI Transceptor AX5043 / Front-End</t>
        </is>
      </c>
      <c r="D4" s="5" t="inlineStr">
        <is>
          <t>Síntesis de frecuencia por PLL interno y procesamiento de banda base analógica en chip.</t>
        </is>
      </c>
      <c r="E4" s="5" t="inlineStr">
        <is>
          <t>Garantiza sincronismo de reloj de símbolos sin sobrecargar el procesador principal.</t>
        </is>
      </c>
    </row>
    <row r="5">
      <c r="A5" s="4" t="inlineStr">
        <is>
          <t>Codificación / Decodificación FEC (Reed-Solomon / Convolutional)</t>
        </is>
      </c>
      <c r="B5" s="8" t="inlineStr">
        <is>
          <t>Mixta (HW + SW)</t>
        </is>
      </c>
      <c r="C5" s="5" t="inlineStr">
        <is>
          <t>FPGA Zynq (Payload) / ARM STM32H7 (OBC)</t>
        </is>
      </c>
      <c r="D5" s="5" t="inlineStr">
        <is>
          <t>La FPGA acelera el cálculo del código de corrección de errores antes de enviar los bytes al transceptor.</t>
        </is>
      </c>
      <c r="E5" s="5" t="inlineStr">
        <is>
          <t>Reduce la tasa de error BER por debajo de 10^-6 con bajo consumo de ciclos CPU.</t>
        </is>
      </c>
    </row>
    <row r="6">
      <c r="A6" s="4" t="inlineStr">
        <is>
          <t>Empaquetado de Tramas de Datos (CSP / AX.25)</t>
        </is>
      </c>
      <c r="B6" s="8" t="inlineStr">
        <is>
          <t>Software Puro</t>
        </is>
      </c>
      <c r="C6" s="5" t="inlineStr">
        <is>
          <t>Software de Vuelo (FSW) en STM32H7 (OBC)</t>
        </is>
      </c>
      <c r="D6" s="5" t="inlineStr">
        <is>
          <t>Formateo de paquetes CSP (CubeSat Space Protocol) con cabecera de dirección, control de flujo y CRC32.</t>
        </is>
      </c>
      <c r="E6" s="5" t="inlineStr">
        <is>
          <t>Permite flexibilidad para modificar la estructura de comandos y telemetría por software.</t>
        </is>
      </c>
    </row>
    <row r="7">
      <c r="A7" s="4" t="inlineStr">
        <is>
          <t>Control de Potencia del PA (Power Amplifer Switching)</t>
        </is>
      </c>
      <c r="B7" s="8" t="inlineStr">
        <is>
          <t>Hardware Puro</t>
        </is>
      </c>
      <c r="C7" s="5" t="inlineStr">
        <is>
          <t>LCL TPS2553 + GPIO de Control Directo</t>
        </is>
      </c>
      <c r="D7" s="5" t="inlineStr">
        <is>
          <t>Habilitación física del riel de 5V del PA mediante línea discreta disparada antes de iniciar la transmisión.</t>
        </is>
      </c>
      <c r="E7" s="5" t="inlineStr">
        <is>
          <t>Previene transmisiones espurias e impide el sobrecalentamiento del PA si el software colapsa.</t>
        </is>
      </c>
    </row>
    <row r="8">
      <c r="A8" s="4" t="inlineStr">
        <is>
          <t>Gestión de Baliza de Telemetría (Beacon Generator)</t>
        </is>
      </c>
      <c r="B8" s="8" t="inlineStr">
        <is>
          <t>Software Puro</t>
        </is>
      </c>
      <c r="C8" s="5" t="inlineStr">
        <is>
          <t>Tarea Periódica FreeRTOS en OBC</t>
        </is>
      </c>
      <c r="D8" s="5" t="inlineStr">
        <is>
          <t>Ensambla cada 30 s el paquete de salud (voltajes EPS, temps, estado) y lo envía a la cola de transmisión.</t>
        </is>
      </c>
      <c r="E8" s="5" t="inlineStr">
        <is>
          <t>Asegura el monitoreo de estado incluso si no hay conexión bidireccional con la Estación Terrena.</t>
        </is>
      </c>
    </row>
    <row r="9">
      <c r="A9" s="4" t="inlineStr">
        <is>
          <t>Despliegue de Antena UHF (Burn-Wire Control)</t>
        </is>
      </c>
      <c r="B9" s="8" t="inlineStr">
        <is>
          <t>Hardware Puro</t>
        </is>
      </c>
      <c r="C9" s="5" t="inlineStr">
        <is>
          <t>Circuito Conmutador MOSFET + Resistencia Nicrom</t>
        </is>
      </c>
      <c r="D9" s="5" t="inlineStr">
        <is>
          <t>Aplicación de pulso de corriente de 0.5A durante 10s para fundir el hilo de retención de las antenas.</t>
        </is>
      </c>
      <c r="E9" s="5" t="inlineStr">
        <is>
          <t>Cumple norma estricta CDS Rev 14.1 §2.3 con temporización garantizada por hardware de inhibición.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7"/>
  <sheetViews>
    <sheetView showGridLines="1" workbookViewId="0">
      <selection activeCell="A1" sqref="A1"/>
    </sheetView>
  </sheetViews>
  <sheetFormatPr baseColWidth="8" defaultRowHeight="15"/>
  <cols>
    <col width="55" customWidth="1" min="1" max="1"/>
    <col width="55" customWidth="1" min="2" max="2"/>
    <col width="55" customWidth="1" min="3" max="3"/>
    <col width="32" customWidth="1" min="4" max="4"/>
    <col width="32" customWidth="1" min="5" max="5"/>
    <col width="55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CUBESAT UD34 - TT&amp;C: ESTUDIO DE ALTERNATIVAS Y MATRIZ DE DECISIÓN</t>
        </is>
      </c>
    </row>
    <row r="2"/>
    <row r="3">
      <c r="A3" s="2" t="inlineStr">
        <is>
          <t>1. DESCRIPCIÓN DE ALTERNATIVAS DE ARQUITECTURA DE COMUNICACIONES</t>
        </is>
      </c>
    </row>
    <row r="4">
      <c r="A4" s="3" t="inlineStr">
        <is>
          <t>Alternativa</t>
        </is>
      </c>
      <c r="B4" s="3" t="inlineStr">
        <is>
          <t>Nombre de la Arquitectura</t>
        </is>
      </c>
      <c r="C4" s="3" t="inlineStr">
        <is>
          <t>Descripción y Características Principales</t>
        </is>
      </c>
      <c r="D4" s="3" t="n"/>
      <c r="E4" s="3" t="n"/>
      <c r="F4" s="3" t="n"/>
      <c r="G4" s="3" t="n"/>
    </row>
    <row r="5">
      <c r="A5" s="4" t="inlineStr">
        <is>
          <t>Alternativa 1 (Seleccionada)</t>
        </is>
      </c>
      <c r="B5" s="4" t="inlineStr">
        <is>
          <t>Transceptor S-Band COTS Integrado (AX5043 + SKY66112 PA) + Antena Patch Cerámica (+Z) + UHF Backup</t>
        </is>
      </c>
      <c r="C5" s="5" t="inlineStr">
        <is>
          <t>Combina un chip transceptor de ultra bajo consumo en PCB 2 con un amplificador Front-End S-Band y antena patch plana externa. Máxima eficiencia SWaP, bajo costo y alta tasa (1 Mbps).</t>
        </is>
      </c>
      <c r="D5" s="6" t="n"/>
      <c r="E5" s="6" t="n"/>
      <c r="F5" s="6" t="n"/>
      <c r="G5" s="7" t="n"/>
    </row>
    <row r="6">
      <c r="A6" s="4" t="inlineStr">
        <is>
          <t>Alternativa 2</t>
        </is>
      </c>
      <c r="B6" s="4" t="inlineStr">
        <is>
          <t>Radio Definida por Software (SDR) basada en AD9364 / PlutoSDR + FPGA Dedicada</t>
        </is>
      </c>
      <c r="C6" s="5" t="inlineStr">
        <is>
          <t>Ofrece flexibilidad total de reconfiguración de frecuencias y modulaciones en órbita. Sin embargo, consume &gt; 6.0 W en Tx, requiere una PCB dedicada compleja y genera alto calor.</t>
        </is>
      </c>
      <c r="D6" s="6" t="n"/>
      <c r="E6" s="6" t="n"/>
      <c r="F6" s="6" t="n"/>
      <c r="G6" s="7" t="n"/>
    </row>
    <row r="7">
      <c r="A7" s="4" t="inlineStr">
        <is>
          <t>Alternativa 3</t>
        </is>
      </c>
      <c r="B7" s="4" t="inlineStr">
        <is>
          <t>Módulo Comercial COTS Dual UHF/VHF de Baja Tasa (NISIS / EnduroSat 9.6 kbps)</t>
        </is>
      </c>
      <c r="C7" s="5" t="inlineStr">
        <is>
          <t>Módulo totalmente integrado en caja COTS. Muy confiable pero limitado a 9.6 kbps de bajada, lo que requeriría &gt; 15 minutos solo para descargar 1 foto comprimida (inviable para la misión).</t>
        </is>
      </c>
      <c r="D7" s="6" t="n"/>
      <c r="E7" s="6" t="n"/>
      <c r="F7" s="6" t="n"/>
      <c r="G7" s="7" t="n"/>
    </row>
    <row r="8"/>
    <row r="9">
      <c r="A9" s="2" t="inlineStr">
        <is>
          <t>2. MATRIZ DE DECISIÓN PONDERADA (PUNTUACIÓN 1.0 A 5.0)</t>
        </is>
      </c>
    </row>
    <row r="10">
      <c r="A10" s="3" t="inlineStr">
        <is>
          <t>Criterio de Evaluación</t>
        </is>
      </c>
      <c r="B10" s="3" t="inlineStr">
        <is>
          <t>Peso (%)</t>
        </is>
      </c>
      <c r="C10" s="3" t="inlineStr">
        <is>
          <t>Alt 1: Transceptor S-Band COTS</t>
        </is>
      </c>
      <c r="D10" s="3" t="inlineStr">
        <is>
          <t>Alt 2: SDR AD9364 + FPGA</t>
        </is>
      </c>
      <c r="E10" s="3" t="inlineStr">
        <is>
          <t>Alt 3: Módulo UHF/VHF 9.6k</t>
        </is>
      </c>
      <c r="F10" s="3" t="inlineStr">
        <is>
          <t>Justificación del Puntaje</t>
        </is>
      </c>
      <c r="G10" s="3" t="n"/>
    </row>
    <row r="11">
      <c r="A11" s="4" t="inlineStr">
        <is>
          <t>Tasa de Datos / Cumplimiento Misión (1 Mbps)</t>
        </is>
      </c>
      <c r="B11" s="9" t="n">
        <v>0.25</v>
      </c>
      <c r="C11" s="8" t="n">
        <v>5</v>
      </c>
      <c r="D11" s="8" t="n">
        <v>5</v>
      </c>
      <c r="E11" s="8" t="n">
        <v>1</v>
      </c>
      <c r="F11" s="5" t="inlineStr">
        <is>
          <t>Alt 1 y 2 logran 1 Mbps para fotos en 8.3 s; Alt 3 no cumple (tarda 15 min por foto).</t>
        </is>
      </c>
      <c r="G11" s="7" t="n"/>
    </row>
    <row r="12">
      <c r="A12" s="4" t="inlineStr">
        <is>
          <t>Consumo de Potencia (SWaP-P)</t>
        </is>
      </c>
      <c r="B12" s="9" t="n">
        <v>0.2</v>
      </c>
      <c r="C12" s="8" t="n">
        <v>4.5</v>
      </c>
      <c r="D12" s="8" t="n">
        <v>2</v>
      </c>
      <c r="E12" s="8" t="n">
        <v>5</v>
      </c>
      <c r="F12" s="5" t="inlineStr">
        <is>
          <t>Alt 1 consume 3.5 W en Tx / 0.15 W Rx. Alt 2 consume &gt; 6 W (inviable en EPS 1U).</t>
        </is>
      </c>
      <c r="G12" s="7" t="n"/>
    </row>
    <row r="13">
      <c r="A13" s="4" t="inlineStr">
        <is>
          <t>Masa y Volumen en Chasis 1U</t>
        </is>
      </c>
      <c r="B13" s="9" t="n">
        <v>0.2</v>
      </c>
      <c r="C13" s="8" t="n">
        <v>4.8</v>
      </c>
      <c r="D13" s="8" t="n">
        <v>2.5</v>
      </c>
      <c r="E13" s="8" t="n">
        <v>4</v>
      </c>
      <c r="F13" s="5" t="inlineStr">
        <is>
          <t>Alt 1 se integra en PCB 2 existente (65 g total). Alt 2 requiere PCB adicional (150 g).</t>
        </is>
      </c>
      <c r="G13" s="7" t="n"/>
    </row>
    <row r="14">
      <c r="A14" s="4" t="inlineStr">
        <is>
          <t>Patrimonio de Vuelo y Confiabilidad (Heritage)</t>
        </is>
      </c>
      <c r="B14" s="9" t="n">
        <v>0.15</v>
      </c>
      <c r="C14" s="8" t="n">
        <v>4.5</v>
      </c>
      <c r="D14" s="8" t="n">
        <v>3</v>
      </c>
      <c r="E14" s="8" t="n">
        <v>5</v>
      </c>
      <c r="F14" s="5" t="inlineStr">
        <is>
          <t>Alt 1 usa chips AX5043 / SKY66112 ampliamente volados. Alt 3 tiene patrimonio perfecto.</t>
        </is>
      </c>
      <c r="G14" s="7" t="n"/>
    </row>
    <row r="15">
      <c r="A15" s="4" t="inlineStr">
        <is>
          <t>Complejidad de Integración y Software</t>
        </is>
      </c>
      <c r="B15" s="9" t="n">
        <v>0.1</v>
      </c>
      <c r="C15" s="8" t="n">
        <v>4</v>
      </c>
      <c r="D15" s="8" t="n">
        <v>2</v>
      </c>
      <c r="E15" s="8" t="n">
        <v>4.5</v>
      </c>
      <c r="F15" s="5" t="inlineStr">
        <is>
          <t>Alt 1 usa controladores SPI/UART simples. Alt 2 exige firmware de DSP/FPGA extremadamente complejo.</t>
        </is>
      </c>
      <c r="G15" s="7" t="n"/>
    </row>
    <row r="16">
      <c r="A16" s="4" t="inlineStr">
        <is>
          <t>Costo de Componentes y Licenciamiento</t>
        </is>
      </c>
      <c r="B16" s="9" t="n">
        <v>0.1</v>
      </c>
      <c r="C16" s="8" t="n">
        <v>4.5</v>
      </c>
      <c r="D16" s="8" t="n">
        <v>2.5</v>
      </c>
      <c r="E16" s="8" t="n">
        <v>3.5</v>
      </c>
      <c r="F16" s="5" t="inlineStr">
        <is>
          <t>Alt 1 es altamente económica (&lt; $300 USD en chips). Alt 2 supera los $2,500 USD.</t>
        </is>
      </c>
      <c r="G16" s="7" t="n"/>
    </row>
    <row r="17">
      <c r="A17" s="10" t="inlineStr">
        <is>
          <t>PUNTAJE TOTAL PONDERADO</t>
        </is>
      </c>
      <c r="B17" s="11">
        <f>SUM(B11:B16)</f>
        <v/>
      </c>
      <c r="C17" s="12">
        <f>SUMPRODUCT(B11:B16,C11:C16)</f>
        <v/>
      </c>
      <c r="D17" s="13">
        <f>SUMPRODUCT(B11:B16,D11:D16)</f>
        <v/>
      </c>
      <c r="E17" s="13">
        <f>SUMPRODUCT(B11:B16,E11:E16)</f>
        <v/>
      </c>
      <c r="F17" s="10" t="inlineStr">
        <is>
          <t>SELECCIÓN OFICIAL: ALTERNATIVA 1 (Transceptor S-Band COTS Integrado)</t>
        </is>
      </c>
      <c r="G17" s="14" t="n"/>
    </row>
  </sheetData>
  <mergeCells count="15">
    <mergeCell ref="C4:G4"/>
    <mergeCell ref="C7:G7"/>
    <mergeCell ref="A1:G1"/>
    <mergeCell ref="F11:G11"/>
    <mergeCell ref="A9:G9"/>
    <mergeCell ref="F12:G12"/>
    <mergeCell ref="C6:G6"/>
    <mergeCell ref="A3:G3"/>
    <mergeCell ref="F10:G10"/>
    <mergeCell ref="F15:G15"/>
    <mergeCell ref="F16:G16"/>
    <mergeCell ref="C5:G5"/>
    <mergeCell ref="F14:G14"/>
    <mergeCell ref="F13:G13"/>
    <mergeCell ref="F17:G1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29" customWidth="1" min="2" max="2"/>
    <col width="30" customWidth="1" min="3" max="3"/>
    <col width="37" customWidth="1" min="4" max="4"/>
    <col width="45" customWidth="1" min="5" max="5"/>
    <col width="45" customWidth="1" min="6" max="6"/>
    <col width="45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CUBESAT UD34 - TT&amp;C: DEFINICIÓN DE INTERFACES (ICD)</t>
        </is>
      </c>
    </row>
    <row r="2"/>
    <row r="3">
      <c r="A3" s="3" t="inlineStr">
        <is>
          <t>ID Interfaz</t>
        </is>
      </c>
      <c r="B3" s="3" t="inlineStr">
        <is>
          <t>Origen / Destino</t>
        </is>
      </c>
      <c r="C3" s="3" t="inlineStr">
        <is>
          <t>Tipo de Interfaz</t>
        </is>
      </c>
      <c r="D3" s="3" t="inlineStr">
        <is>
          <t>Señales / Contactos</t>
        </is>
      </c>
      <c r="E3" s="3" t="inlineStr">
        <is>
          <t>Nivel Eléctrico / Protocolo</t>
        </is>
      </c>
      <c r="F3" s="3" t="inlineStr">
        <is>
          <t>Propósito Funcional</t>
        </is>
      </c>
      <c r="G3" s="3" t="inlineStr">
        <is>
          <t>Mecanismo de Aislamiento / Protección</t>
        </is>
      </c>
    </row>
    <row r="4">
      <c r="A4" s="4" t="inlineStr">
        <is>
          <t>IF-PWR-TTC</t>
        </is>
      </c>
      <c r="B4" s="5" t="inlineStr">
        <is>
          <t>EPS Board -&gt; TT&amp;C (PCB 2)</t>
        </is>
      </c>
      <c r="C4" s="8" t="inlineStr">
        <is>
          <t>Alimentación Eléctrica</t>
        </is>
      </c>
      <c r="D4" s="8" t="inlineStr">
        <is>
          <t>+3.3V_SYS, +5.0V_PA, GND</t>
        </is>
      </c>
      <c r="E4" s="5" t="inlineStr">
        <is>
          <t>3.3V DC (Rx) / 5.0V DC (PA) @ 1.2A Peak</t>
        </is>
      </c>
      <c r="F4" s="5" t="inlineStr">
        <is>
          <t>Suministro de energía para transceptor RF y amplificador de potencia</t>
        </is>
      </c>
      <c r="G4" s="5" t="inlineStr">
        <is>
          <t>LCL TPS2553 con auto-reset + TVS SMAJ5.0A + Filtro Pi</t>
        </is>
      </c>
    </row>
    <row r="5">
      <c r="A5" s="4" t="inlineStr">
        <is>
          <t>IF-BUS-CAN</t>
        </is>
      </c>
      <c r="B5" s="5" t="inlineStr">
        <is>
          <t>OBC &lt;-&gt; TT&amp;C Transceiver</t>
        </is>
      </c>
      <c r="C5" s="8" t="inlineStr">
        <is>
          <t>Bus de Datos de Campo</t>
        </is>
      </c>
      <c r="D5" s="8" t="inlineStr">
        <is>
          <t>CAN_H, CAN_L</t>
        </is>
      </c>
      <c r="E5" s="5" t="inlineStr">
        <is>
          <t>Diferencial ISO 11898 / CAN 2.0B @ 1 Mbps</t>
        </is>
      </c>
      <c r="F5" s="5" t="inlineStr">
        <is>
          <t>Envío de paquetes de telemetría y recepción de comandos desde OBC</t>
        </is>
      </c>
      <c r="G5" s="5" t="inlineStr">
        <is>
          <t>Transceptor TCAN330 + Arreglo ESD TPD4E001 + Terminación 120 Ω</t>
        </is>
      </c>
    </row>
    <row r="6">
      <c r="A6" s="4" t="inlineStr">
        <is>
          <t>IF-DATA-SPI</t>
        </is>
      </c>
      <c r="B6" s="5" t="inlineStr">
        <is>
          <t>OBC / FPGA -&gt; AX5043</t>
        </is>
      </c>
      <c r="C6" s="8" t="inlineStr">
        <is>
          <t>Bus Digital de Datos RF</t>
        </is>
      </c>
      <c r="D6" s="8" t="inlineStr">
        <is>
          <t>SPI_MOSI, SPI_MISO, SPI_SCK, CS_N</t>
        </is>
      </c>
      <c r="E6" s="5" t="inlineStr">
        <is>
          <t>CMOS 3.3V / SPI Mode 0 @ 10 MHz</t>
        </is>
      </c>
      <c r="F6" s="5" t="inlineStr">
        <is>
          <t>Carga de bytes de payload formateados CSP/AX.25 para modulación</t>
        </is>
      </c>
      <c r="G6" s="5" t="inlineStr">
        <is>
          <t>Resistencias de terminación en serie 33 Ω + Trazos PCB cortos</t>
        </is>
      </c>
    </row>
    <row r="7">
      <c r="A7" s="4" t="inlineStr">
        <is>
          <t>IF-CTRL-PA</t>
        </is>
      </c>
      <c r="B7" s="5" t="inlineStr">
        <is>
          <t>OBC -&gt; SKY66112 PA</t>
        </is>
      </c>
      <c r="C7" s="8" t="inlineStr">
        <is>
          <t>Línea Discreta de Control</t>
        </is>
      </c>
      <c r="D7" s="8" t="inlineStr">
        <is>
          <t>PA_EN, LNA_EN, CSD_N</t>
        </is>
      </c>
      <c r="E7" s="5" t="inlineStr">
        <is>
          <t>GPIO CMOS 3.3V Active High</t>
        </is>
      </c>
      <c r="F7" s="5" t="inlineStr">
        <is>
          <t>Habilitación síncrona de la etapa de potencia RF únicamente durante transmisión</t>
        </is>
      </c>
      <c r="G7" s="5" t="inlineStr">
        <is>
          <t>Resistencia Pulldown 10kΩ en PCB (Default OFF ante reset OBC)</t>
        </is>
      </c>
    </row>
    <row r="8">
      <c r="A8" s="4" t="inlineStr">
        <is>
          <t>IF-RF-SBD</t>
        </is>
      </c>
      <c r="B8" s="5" t="inlineStr">
        <is>
          <t>SKY66112 -&gt; Patch Ant</t>
        </is>
      </c>
      <c r="C8" s="8" t="inlineStr">
        <is>
          <t>Enlace RF Banda S</t>
        </is>
      </c>
      <c r="D8" s="8" t="inlineStr">
        <is>
          <t>S-BAND_RF_OUT (Coaxial)</t>
        </is>
      </c>
      <c r="E8" s="5" t="inlineStr">
        <is>
          <t>50 Ω Impedancia / 2420 MHz @ +30 dBm</t>
        </is>
      </c>
      <c r="F8" s="5" t="inlineStr">
        <is>
          <t>Conexión de salida de alta frecuencia hacia la antena parche externa Zenith</t>
        </is>
      </c>
      <c r="G8" s="5" t="inlineStr">
        <is>
          <t>Conector U.FL / SMA + Filtro pasa-banda BFCN-2432+</t>
        </is>
      </c>
    </row>
    <row r="9">
      <c r="A9" s="4" t="inlineStr">
        <is>
          <t>IF-RF-UHF</t>
        </is>
      </c>
      <c r="B9" s="5" t="inlineStr">
        <is>
          <t>AX5043 -&gt; Deployer UHF</t>
        </is>
      </c>
      <c r="C9" s="8" t="inlineStr">
        <is>
          <t>Enlace RF UHF</t>
        </is>
      </c>
      <c r="D9" s="8" t="inlineStr">
        <is>
          <t>UHF_RF_INOUT (Coaxial)</t>
        </is>
      </c>
      <c r="E9" s="5" t="inlineStr">
        <is>
          <t>50 Ω Impedancia / 437 MHz @ +20 dBm</t>
        </is>
      </c>
      <c r="F9" s="5" t="inlineStr">
        <is>
          <t>Conexión bidireccional hacia el módulo de dipolos desplegables UHF</t>
        </is>
      </c>
      <c r="G9" s="5" t="inlineStr">
        <is>
          <t>Conector U.FL + Red de adaptación LC de impedancia</t>
        </is>
      </c>
    </row>
    <row r="10">
      <c r="A10" s="4" t="inlineStr">
        <is>
          <t>IF-BURN-UHF</t>
        </is>
      </c>
      <c r="B10" s="5" t="inlineStr">
        <is>
          <t>OBC / EPS -&gt; Burn-Wire</t>
        </is>
      </c>
      <c r="C10" s="8" t="inlineStr">
        <is>
          <t>Línea de Potencia Discreta</t>
        </is>
      </c>
      <c r="D10" s="8" t="inlineStr">
        <is>
          <t>BURN_UHF_EN, GND</t>
        </is>
      </c>
      <c r="E10" s="5" t="inlineStr">
        <is>
          <t>7.4V_BAT / 0.5A Pulse durante 10s</t>
        </is>
      </c>
      <c r="F10" s="5" t="inlineStr">
        <is>
          <t>Disparo del circuito térmico para liberar las antenas UHF tras inyección</t>
        </is>
      </c>
      <c r="G10" s="5" t="inlineStr">
        <is>
          <t>MOSFET N-Channel de potencia con optoacoplador y temporización HW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3"/>
  <sheetViews>
    <sheetView showGridLines="1" workbookViewId="0">
      <selection activeCell="A1" sqref="A1"/>
    </sheetView>
  </sheetViews>
  <sheetFormatPr baseColWidth="8" defaultRowHeight="15"/>
  <cols>
    <col width="55" customWidth="1" min="1" max="1"/>
    <col width="27" customWidth="1" min="2" max="2"/>
    <col width="55" customWidth="1" min="3" max="3"/>
    <col width="16" customWidth="1" min="4" max="4"/>
    <col width="55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CUBESAT UD34 - TT&amp;C: PRESUPUESTOS DE RECURSOS (ENLACE, POTENCIA, MASA)</t>
        </is>
      </c>
    </row>
    <row r="2"/>
    <row r="3">
      <c r="A3" s="2" t="inlineStr">
        <is>
          <t>1. PRESUPUESTO DE ENLACE DE COMUNICACIONES (LINK BUDGET DOWNLINK BANDA S @ 2.4 GHz)</t>
        </is>
      </c>
    </row>
    <row r="4">
      <c r="A4" s="3" t="inlineStr">
        <is>
          <t>Parámetro de Enlace</t>
        </is>
      </c>
      <c r="B4" s="3" t="inlineStr">
        <is>
          <t>Valor Calculado</t>
        </is>
      </c>
      <c r="C4" s="3" t="inlineStr">
        <is>
          <t>Descripción y Fórmula de Cálculo</t>
        </is>
      </c>
      <c r="D4" s="3" t="n"/>
      <c r="E4" s="3" t="n"/>
      <c r="F4" s="3" t="n"/>
    </row>
    <row r="5">
      <c r="A5" s="4" t="inlineStr">
        <is>
          <t>Potencia del Transmisor (P_tx)</t>
        </is>
      </c>
      <c r="B5" s="8" t="inlineStr">
        <is>
          <t>1.00 W (+30.0 dBm)</t>
        </is>
      </c>
      <c r="C5" s="5" t="inlineStr">
        <is>
          <t>Potencia RF entregada por el PA SKY66112-11</t>
        </is>
      </c>
      <c r="D5" s="6" t="n"/>
      <c r="E5" s="6" t="n"/>
      <c r="F5" s="7" t="n"/>
    </row>
    <row r="6">
      <c r="A6" s="4" t="inlineStr">
        <is>
          <t>Pérdidas de Línea y Filtros (L_tx)</t>
        </is>
      </c>
      <c r="B6" s="8" t="inlineStr">
        <is>
          <t>-1.20 dB</t>
        </is>
      </c>
      <c r="C6" s="5" t="inlineStr">
        <is>
          <t>Pérdidas en conector U.FL, trazo PCB y filtro pasa-banda BFCN</t>
        </is>
      </c>
      <c r="D6" s="6" t="n"/>
      <c r="E6" s="6" t="n"/>
      <c r="F6" s="7" t="n"/>
    </row>
    <row r="7">
      <c r="A7" s="4" t="inlineStr">
        <is>
          <t>Ganancia de Antena Satélite (G_tx)</t>
        </is>
      </c>
      <c r="B7" s="8" t="inlineStr">
        <is>
          <t>+6.00 dBi</t>
        </is>
      </c>
      <c r="C7" s="5" t="inlineStr">
        <is>
          <t>Antena Parche Cerámica S-Band en cara Zenith (+Z)</t>
        </is>
      </c>
      <c r="D7" s="6" t="n"/>
      <c r="E7" s="6" t="n"/>
      <c r="F7" s="7" t="n"/>
    </row>
    <row r="8">
      <c r="A8" s="4" t="inlineStr">
        <is>
          <t>Potencia Isotrópica Radiada Efectiva (EIRP)</t>
        </is>
      </c>
      <c r="B8" s="8" t="inlineStr">
        <is>
          <t>+34.80 dBm (+4.8 dBW)</t>
        </is>
      </c>
      <c r="C8" s="5" t="inlineStr">
        <is>
          <t>EIRP = P_tx - L_tx + G_tx</t>
        </is>
      </c>
      <c r="D8" s="6" t="n"/>
      <c r="E8" s="6" t="n"/>
      <c r="F8" s="7" t="n"/>
    </row>
    <row r="9">
      <c r="A9" s="4" t="inlineStr">
        <is>
          <t>Distancia de Enlace Slant Range (d)</t>
        </is>
      </c>
      <c r="B9" s="8" t="inlineStr">
        <is>
          <t>1,250 km @ 5° Elevación</t>
        </is>
      </c>
      <c r="C9" s="5" t="inlineStr">
        <is>
          <t>Peor caso geométrico para órbita circular H = 550 km</t>
        </is>
      </c>
      <c r="D9" s="6" t="n"/>
      <c r="E9" s="6" t="n"/>
      <c r="F9" s="7" t="n"/>
    </row>
    <row r="10">
      <c r="A10" s="4" t="inlineStr">
        <is>
          <t>Pérdida de Espacio Libre (FSPL @ 2.42 GHz)</t>
        </is>
      </c>
      <c r="B10" s="8" t="inlineStr">
        <is>
          <t>-162.05 dB</t>
        </is>
      </c>
      <c r="C10" s="5" t="inlineStr">
        <is>
          <t>FSPL = 20*log10(4*pi*d/lambda)</t>
        </is>
      </c>
      <c r="D10" s="6" t="n"/>
      <c r="E10" s="6" t="n"/>
      <c r="F10" s="7" t="n"/>
    </row>
    <row r="11">
      <c r="A11" s="4" t="inlineStr">
        <is>
          <t>Pérdidas Atmosféricas y Polarización (L_atm)</t>
        </is>
      </c>
      <c r="B11" s="8" t="inlineStr">
        <is>
          <t>-1.50 dB</t>
        </is>
      </c>
      <c r="C11" s="5" t="inlineStr">
        <is>
          <t>Atenuación por lluvia fina, gases y desacople de polarización</t>
        </is>
      </c>
      <c r="D11" s="6" t="n"/>
      <c r="E11" s="6" t="n"/>
      <c r="F11" s="7" t="n"/>
    </row>
    <row r="12">
      <c r="A12" s="4" t="inlineStr">
        <is>
          <t>Ganancia Antena Estación Terrena (G_rx)</t>
        </is>
      </c>
      <c r="B12" s="8" t="inlineStr">
        <is>
          <t>+24.00 dBi</t>
        </is>
      </c>
      <c r="C12" s="5" t="inlineStr">
        <is>
          <t>Parábola de 1.8 m con seguimiento automático en Medellín</t>
        </is>
      </c>
      <c r="D12" s="6" t="n"/>
      <c r="E12" s="6" t="n"/>
      <c r="F12" s="7" t="n"/>
    </row>
    <row r="13">
      <c r="A13" s="4" t="inlineStr">
        <is>
          <t>Potencia Recibida en Estación Terrena (P_rx)</t>
        </is>
      </c>
      <c r="B13" s="8" t="inlineStr">
        <is>
          <t>-104.75 dBm</t>
        </is>
      </c>
      <c r="C13" s="5" t="inlineStr">
        <is>
          <t>P_rx = EIRP + G_rx - FSPL - L_atm</t>
        </is>
      </c>
      <c r="D13" s="6" t="n"/>
      <c r="E13" s="6" t="n"/>
      <c r="F13" s="7" t="n"/>
    </row>
    <row r="14">
      <c r="A14" s="4" t="inlineStr">
        <is>
          <t>Sensibilidad del Receptor Terreno (P_sens)</t>
        </is>
      </c>
      <c r="B14" s="8" t="inlineStr">
        <is>
          <t>-118.00 dBm @ 1.0 Mbps</t>
        </is>
      </c>
      <c r="C14" s="5" t="inlineStr">
        <is>
          <t>Demodulador profesional S-Band con LNA de bajo ruido</t>
        </is>
      </c>
      <c r="D14" s="6" t="n"/>
      <c r="E14" s="6" t="n"/>
      <c r="F14" s="7" t="n"/>
    </row>
    <row r="15">
      <c r="A15" s="4" t="inlineStr">
        <is>
          <t>Relación Eb/N0 Obtenida en Recepción</t>
        </is>
      </c>
      <c r="B15" s="8" t="inlineStr">
        <is>
          <t>+18.90 dB</t>
        </is>
      </c>
      <c r="C15" s="5" t="inlineStr">
        <is>
          <t>Eb/N0 = P_rx - N0 - 10*log10(Data_Rate)</t>
        </is>
      </c>
      <c r="D15" s="6" t="n"/>
      <c r="E15" s="6" t="n"/>
      <c r="F15" s="7" t="n"/>
    </row>
    <row r="16">
      <c r="A16" s="4" t="inlineStr">
        <is>
          <t>Relación Eb/N0 Requerida (QPSK BER 10^-6)</t>
        </is>
      </c>
      <c r="B16" s="8" t="inlineStr">
        <is>
          <t>+10.50 dB</t>
        </is>
      </c>
      <c r="C16" s="5" t="inlineStr">
        <is>
          <t>Límite teórico con codificación FEC Reed-Solomon (255,223)</t>
        </is>
      </c>
      <c r="D16" s="6" t="n"/>
      <c r="E16" s="6" t="n"/>
      <c r="F16" s="7" t="n"/>
    </row>
    <row r="17">
      <c r="A17" s="10" t="inlineStr">
        <is>
          <t>MARGEN DE ENLACE FINAL (LINK MARGIN)</t>
        </is>
      </c>
      <c r="B17" s="15" t="inlineStr">
        <is>
          <t>+8.40 dB</t>
        </is>
      </c>
      <c r="C17" s="16" t="inlineStr">
        <is>
          <t>M = Eb/N0_obtenido - Eb/N0_requerido (CUMPLE &gt; +6.0 dB ECSS)</t>
        </is>
      </c>
      <c r="D17" s="14" t="n"/>
      <c r="E17" s="14" t="n"/>
      <c r="F17" s="14" t="n"/>
    </row>
    <row r="18"/>
    <row r="19">
      <c r="A19" s="2" t="inlineStr">
        <is>
          <t>2. PRESUPUESTO DE ENERGÍA Y CONSUMO POR ÓRBITA</t>
        </is>
      </c>
    </row>
    <row r="20">
      <c r="A20" s="3" t="inlineStr">
        <is>
          <t>Modo Operativo</t>
        </is>
      </c>
      <c r="B20" s="3" t="inlineStr">
        <is>
          <t>Potencia (W)</t>
        </is>
      </c>
      <c r="C20" s="3" t="inlineStr">
        <is>
          <t>Tiempo / Órbita</t>
        </is>
      </c>
      <c r="D20" s="3" t="inlineStr">
        <is>
          <t>Energía (Wh)</t>
        </is>
      </c>
      <c r="E20" s="3" t="inlineStr">
        <is>
          <t>Impacto en Sistema EPS</t>
        </is>
      </c>
      <c r="F20" s="3" t="n"/>
    </row>
    <row r="21">
      <c r="A21" s="4" t="inlineStr">
        <is>
          <t>Modo Standby / Escucha (Rx Continuous)</t>
        </is>
      </c>
      <c r="B21" s="8" t="inlineStr">
        <is>
          <t>0.15 W</t>
        </is>
      </c>
      <c r="C21" s="8" t="inlineStr">
        <is>
          <t>90.0 min</t>
        </is>
      </c>
      <c r="D21" s="8" t="inlineStr">
        <is>
          <t>0.225 Wh</t>
        </is>
      </c>
      <c r="E21" s="5" t="inlineStr">
        <is>
          <t>Operación continua Always-On escuchando comandos</t>
        </is>
      </c>
      <c r="F21" s="7" t="n"/>
    </row>
    <row r="22">
      <c r="A22" s="4" t="inlineStr">
        <is>
          <t>Modo Transmisión ráfaga S-Band (Tx Downlink)</t>
        </is>
      </c>
      <c r="B22" s="8" t="inlineStr">
        <is>
          <t>3.50 W</t>
        </is>
      </c>
      <c r="C22" s="8" t="inlineStr">
        <is>
          <t>8.32 min (Pasada)</t>
        </is>
      </c>
      <c r="D22" s="8" t="inlineStr">
        <is>
          <t>0.485 Wh</t>
        </is>
      </c>
      <c r="E22" s="5" t="inlineStr">
        <is>
          <t>Descarga de fotos sobre la Estación Terrena en Medellín</t>
        </is>
      </c>
      <c r="F22" s="7" t="n"/>
    </row>
    <row r="23">
      <c r="A23" s="10" t="inlineStr">
        <is>
          <t>ENERGÍA TOTAL CONSUMIDA POR ÓRBITA</t>
        </is>
      </c>
      <c r="B23" s="17" t="inlineStr">
        <is>
          <t>0.52 W Prom</t>
        </is>
      </c>
      <c r="C23" s="18" t="inlineStr">
        <is>
          <t>90.0 min Total</t>
        </is>
      </c>
      <c r="D23" s="15" t="inlineStr">
        <is>
          <t>0.520 Wh</t>
        </is>
      </c>
      <c r="E23" s="16" t="inlineStr">
        <is>
          <t>Representa &lt; 5.9% de la capacidad de la batería 2S1P (8.8 Wh)</t>
        </is>
      </c>
      <c r="F23" s="14" t="n"/>
    </row>
  </sheetData>
  <mergeCells count="21">
    <mergeCell ref="C17:F17"/>
    <mergeCell ref="C8:F8"/>
    <mergeCell ref="C7:F7"/>
    <mergeCell ref="E23:F23"/>
    <mergeCell ref="A3:F3"/>
    <mergeCell ref="C13:F13"/>
    <mergeCell ref="E20:F20"/>
    <mergeCell ref="C6:F6"/>
    <mergeCell ref="C15:F15"/>
    <mergeCell ref="C5:F5"/>
    <mergeCell ref="C14:F14"/>
    <mergeCell ref="A19:F19"/>
    <mergeCell ref="C4:F4"/>
    <mergeCell ref="C16:F16"/>
    <mergeCell ref="C10:F10"/>
    <mergeCell ref="C9:F9"/>
    <mergeCell ref="A1:F1"/>
    <mergeCell ref="C12:F12"/>
    <mergeCell ref="E22:F22"/>
    <mergeCell ref="C11:F11"/>
    <mergeCell ref="E21:F2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0"/>
  <sheetViews>
    <sheetView showGridLines="1" workbookViewId="0">
      <selection activeCell="A1" sqref="A1"/>
    </sheetView>
  </sheetViews>
  <sheetFormatPr baseColWidth="8" defaultRowHeight="15"/>
  <cols>
    <col width="55" customWidth="1" min="1" max="1"/>
    <col width="34" customWidth="1" min="2" max="2"/>
    <col width="24" customWidth="1" min="3" max="3"/>
    <col width="17" customWidth="1" min="4" max="4"/>
    <col width="55" customWidth="1" min="5" max="5"/>
    <col width="22" customWidth="1" min="6" max="6"/>
    <col width="36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CUBESAT UD34 - TT&amp;C: ESTIMACIÓN DE ÁREA PCB, VOLUMEN Y UBICACIÓN FÍSICA</t>
        </is>
      </c>
    </row>
    <row r="2"/>
    <row r="3">
      <c r="A3" s="2" t="inlineStr">
        <is>
          <t>1. CONTABILIDAD DE ÁREA DE COMPONENTES SMD TT&amp;C (EN PCB 2 COMPARTIDA)</t>
        </is>
      </c>
    </row>
    <row r="4">
      <c r="A4" s="3" t="inlineStr">
        <is>
          <t>Componente TT&amp;C</t>
        </is>
      </c>
      <c r="B4" s="3" t="inlineStr">
        <is>
          <t>Encapsulado</t>
        </is>
      </c>
      <c r="C4" s="3" t="inlineStr">
        <is>
          <t>Dimensiones L x W</t>
        </is>
      </c>
      <c r="D4" s="3" t="inlineStr">
        <is>
          <t>Área Unitaria</t>
        </is>
      </c>
      <c r="E4" s="3" t="inlineStr">
        <is>
          <t>Cantidad</t>
        </is>
      </c>
      <c r="F4" s="3" t="inlineStr">
        <is>
          <t>Área Total Ocupada</t>
        </is>
      </c>
      <c r="G4" s="3" t="inlineStr">
        <is>
          <t>Ubicación en PCB 2</t>
        </is>
      </c>
    </row>
    <row r="5">
      <c r="A5" s="4" t="inlineStr">
        <is>
          <t>CI Transceptor RF AX5043</t>
        </is>
      </c>
      <c r="B5" s="8" t="inlineStr">
        <is>
          <t>QFN-28</t>
        </is>
      </c>
      <c r="C5" s="8" t="inlineStr">
        <is>
          <t>5.0 x 5.0 mm</t>
        </is>
      </c>
      <c r="D5" s="8" t="inlineStr">
        <is>
          <t>25.0 mm²</t>
        </is>
      </c>
      <c r="E5" s="8" t="inlineStr">
        <is>
          <t>1</t>
        </is>
      </c>
      <c r="F5" s="8" t="inlineStr">
        <is>
          <t>25.0 mm²</t>
        </is>
      </c>
      <c r="G5" s="5" t="inlineStr">
        <is>
          <t>TOP - PCB 2</t>
        </is>
      </c>
    </row>
    <row r="6">
      <c r="A6" s="4" t="inlineStr">
        <is>
          <t>FEM Amplificador PA SKY66112</t>
        </is>
      </c>
      <c r="B6" s="8" t="inlineStr">
        <is>
          <t>MCM 22-pin</t>
        </is>
      </c>
      <c r="C6" s="8" t="inlineStr">
        <is>
          <t>3.5 x 3.0 mm</t>
        </is>
      </c>
      <c r="D6" s="8" t="inlineStr">
        <is>
          <t>10.5 mm²</t>
        </is>
      </c>
      <c r="E6" s="8" t="inlineStr">
        <is>
          <t>1</t>
        </is>
      </c>
      <c r="F6" s="8" t="inlineStr">
        <is>
          <t>10.5 mm²</t>
        </is>
      </c>
      <c r="G6" s="5" t="inlineStr">
        <is>
          <t>TOP - PCB 2 (Área RF)</t>
        </is>
      </c>
    </row>
    <row r="7">
      <c r="A7" s="4" t="inlineStr">
        <is>
          <t>Transceptor Backup CC1120</t>
        </is>
      </c>
      <c r="B7" s="8" t="inlineStr">
        <is>
          <t>VQFN-32</t>
        </is>
      </c>
      <c r="C7" s="8" t="inlineStr">
        <is>
          <t>5.0 x 5.0 mm</t>
        </is>
      </c>
      <c r="D7" s="8" t="inlineStr">
        <is>
          <t>25.0 mm²</t>
        </is>
      </c>
      <c r="E7" s="8" t="inlineStr">
        <is>
          <t>1</t>
        </is>
      </c>
      <c r="F7" s="8" t="inlineStr">
        <is>
          <t>25.0 mm²</t>
        </is>
      </c>
      <c r="G7" s="5" t="inlineStr">
        <is>
          <t>BOTTOM - PCB 2</t>
        </is>
      </c>
    </row>
    <row r="8">
      <c r="A8" s="4" t="inlineStr">
        <is>
          <t>Conmutador RF PE42420E</t>
        </is>
      </c>
      <c r="B8" s="8" t="inlineStr">
        <is>
          <t>LGA-20</t>
        </is>
      </c>
      <c r="C8" s="8" t="inlineStr">
        <is>
          <t>3.0 x 3.0 mm</t>
        </is>
      </c>
      <c r="D8" s="8" t="inlineStr">
        <is>
          <t>9.0 mm²</t>
        </is>
      </c>
      <c r="E8" s="8" t="inlineStr">
        <is>
          <t>1</t>
        </is>
      </c>
      <c r="F8" s="8" t="inlineStr">
        <is>
          <t>9.0 mm²</t>
        </is>
      </c>
      <c r="G8" s="5" t="inlineStr">
        <is>
          <t>TOP - PCB 2</t>
        </is>
      </c>
    </row>
    <row r="9">
      <c r="A9" s="4" t="inlineStr">
        <is>
          <t>Transceptor CAN TCAN330</t>
        </is>
      </c>
      <c r="B9" s="8" t="inlineStr">
        <is>
          <t>SOIC-8</t>
        </is>
      </c>
      <c r="C9" s="8" t="inlineStr">
        <is>
          <t>4.9 x 3.9 mm</t>
        </is>
      </c>
      <c r="D9" s="8" t="inlineStr">
        <is>
          <t>19.1 mm²</t>
        </is>
      </c>
      <c r="E9" s="8" t="inlineStr">
        <is>
          <t>1</t>
        </is>
      </c>
      <c r="F9" s="8" t="inlineStr">
        <is>
          <t>19.1 mm²</t>
        </is>
      </c>
      <c r="G9" s="5" t="inlineStr">
        <is>
          <t>TOP - PCB 2</t>
        </is>
      </c>
    </row>
    <row r="10">
      <c r="A10" s="4" t="inlineStr">
        <is>
          <t>Power Switch LCL TPS2553</t>
        </is>
      </c>
      <c r="B10" s="8" t="inlineStr">
        <is>
          <t>SOT-23-6</t>
        </is>
      </c>
      <c r="C10" s="8" t="inlineStr">
        <is>
          <t>2.9 x 1.6 mm</t>
        </is>
      </c>
      <c r="D10" s="8" t="inlineStr">
        <is>
          <t>4.6 mm²</t>
        </is>
      </c>
      <c r="E10" s="8" t="inlineStr">
        <is>
          <t>1</t>
        </is>
      </c>
      <c r="F10" s="8" t="inlineStr">
        <is>
          <t>4.6 mm²</t>
        </is>
      </c>
      <c r="G10" s="5" t="inlineStr">
        <is>
          <t>TOP - PCB 2</t>
        </is>
      </c>
    </row>
    <row r="11">
      <c r="A11" s="4" t="inlineStr">
        <is>
          <t>Filtro Pasa-Banda BFCN-2432</t>
        </is>
      </c>
      <c r="B11" s="8" t="inlineStr">
        <is>
          <t>Cerámico SMD</t>
        </is>
      </c>
      <c r="C11" s="8" t="inlineStr">
        <is>
          <t>3.2 x 1.6 mm</t>
        </is>
      </c>
      <c r="D11" s="8" t="inlineStr">
        <is>
          <t>5.1 mm²</t>
        </is>
      </c>
      <c r="E11" s="8" t="inlineStr">
        <is>
          <t>1</t>
        </is>
      </c>
      <c r="F11" s="8" t="inlineStr">
        <is>
          <t>5.1 mm²</t>
        </is>
      </c>
      <c r="G11" s="5" t="inlineStr">
        <is>
          <t>TOP - PCB 2</t>
        </is>
      </c>
    </row>
    <row r="12">
      <c r="A12" s="4" t="inlineStr">
        <is>
          <t>Conectores U.FL (x3)</t>
        </is>
      </c>
      <c r="B12" s="8" t="inlineStr">
        <is>
          <t>U.FL SMT</t>
        </is>
      </c>
      <c r="C12" s="8" t="inlineStr">
        <is>
          <t>3.0 x 3.0 mm</t>
        </is>
      </c>
      <c r="D12" s="8" t="inlineStr">
        <is>
          <t>9.0 mm²</t>
        </is>
      </c>
      <c r="E12" s="8" t="inlineStr">
        <is>
          <t>3</t>
        </is>
      </c>
      <c r="F12" s="8" t="inlineStr">
        <is>
          <t>27.0 mm²</t>
        </is>
      </c>
      <c r="G12" s="5" t="inlineStr">
        <is>
          <t>TOP - PCB 2 (Borde RF)</t>
        </is>
      </c>
    </row>
    <row r="13">
      <c r="A13" s="4" t="inlineStr">
        <is>
          <t>Pasivos SMD 0402/0603/TVS</t>
        </is>
      </c>
      <c r="B13" s="8" t="inlineStr">
        <is>
          <t>0402 / 0603</t>
        </is>
      </c>
      <c r="C13" s="8" t="inlineStr">
        <is>
          <t>Variables</t>
        </is>
      </c>
      <c r="D13" s="8" t="inlineStr">
        <is>
          <t>1.5 mm² avg</t>
        </is>
      </c>
      <c r="E13" s="8" t="inlineStr">
        <is>
          <t>25</t>
        </is>
      </c>
      <c r="F13" s="8" t="inlineStr">
        <is>
          <t>37.5 mm²</t>
        </is>
      </c>
      <c r="G13" s="5" t="inlineStr">
        <is>
          <t>TOP y BOTTOM - PCB 2</t>
        </is>
      </c>
    </row>
    <row r="14">
      <c r="A14" s="10" t="inlineStr">
        <is>
          <t>TOTAL ÁREA COMPONENTES TT&amp;C</t>
        </is>
      </c>
      <c r="B14" s="18" t="inlineStr">
        <is>
          <t>-</t>
        </is>
      </c>
      <c r="C14" s="18" t="inlineStr">
        <is>
          <t>-</t>
        </is>
      </c>
      <c r="D14" s="18" t="inlineStr">
        <is>
          <t>-</t>
        </is>
      </c>
      <c r="E14" s="18" t="inlineStr">
        <is>
          <t>35</t>
        </is>
      </c>
      <c r="F14" s="15" t="inlineStr">
        <is>
          <t>162.8 mm²</t>
        </is>
      </c>
      <c r="G14" s="16" t="inlineStr">
        <is>
          <t>Ocupa 1.1% de PCB 2 (14,400 mm²)</t>
        </is>
      </c>
    </row>
    <row r="15"/>
    <row r="16">
      <c r="A16" s="2" t="inlineStr">
        <is>
          <t>2. UBICACIÓN FÍSICA Y DIMENSIONAMIENTO DE ANTENAS EN EL CUBESAT 1U</t>
        </is>
      </c>
    </row>
    <row r="17">
      <c r="A17" s="3" t="inlineStr">
        <is>
          <t>Elemento de Antena / RF</t>
        </is>
      </c>
      <c r="B17" s="3" t="inlineStr">
        <is>
          <t>Ubicación en Chasis 1U</t>
        </is>
      </c>
      <c r="C17" s="3" t="inlineStr">
        <is>
          <t>Dimensiones Físicas</t>
        </is>
      </c>
      <c r="D17" s="3" t="inlineStr">
        <is>
          <t>Masa</t>
        </is>
      </c>
      <c r="E17" s="3" t="inlineStr">
        <is>
          <t>Integración Mecánica y Comentarios de Espacio</t>
        </is>
      </c>
      <c r="F17" s="3" t="n"/>
      <c r="G17" s="3" t="n"/>
    </row>
    <row r="18">
      <c r="A18" s="4" t="inlineStr">
        <is>
          <t>Antena Parche S-Band (Downlink)</t>
        </is>
      </c>
      <c r="B18" s="5" t="inlineStr">
        <is>
          <t>Panel Externo Zenith (+Z)</t>
        </is>
      </c>
      <c r="C18" s="8" t="inlineStr">
        <is>
          <t>75.0 x 75.0 x 4.0 mm</t>
        </is>
      </c>
      <c r="D18" s="8" t="inlineStr">
        <is>
          <t>15.0 g</t>
        </is>
      </c>
      <c r="E18" s="5" t="inlineStr">
        <is>
          <t>Instalada Flush sobre la cara externa superior (+Z). No consume volumen interno en el eje Z. Conectada por cable micro-coaxial a PCB 2.</t>
        </is>
      </c>
      <c r="F18" s="6" t="n"/>
      <c r="G18" s="7" t="n"/>
    </row>
    <row r="19">
      <c r="A19" s="4" t="inlineStr">
        <is>
          <t>Antena Dipolo UHF (Uplink/Beacon)</t>
        </is>
      </c>
      <c r="B19" s="5" t="inlineStr">
        <is>
          <t>Estructura Exterior Nadir (-Z)</t>
        </is>
      </c>
      <c r="C19" s="8" t="inlineStr">
        <is>
          <t>98.0 x 98.0 x 7.0 mm</t>
        </is>
      </c>
      <c r="D19" s="8" t="inlineStr">
        <is>
          <t>15.0 g</t>
        </is>
      </c>
      <c r="E19" s="5" t="inlineStr">
        <is>
          <t>Modulo montado externamente en el marco inferior (-Z) alrededor de la lente de la cámara. Las cintas se despliegan mediante hilo de nicrom.</t>
        </is>
      </c>
      <c r="F19" s="6" t="n"/>
      <c r="G19" s="7" t="n"/>
    </row>
    <row r="20">
      <c r="A20" s="4" t="inlineStr">
        <is>
          <t>Circuito RF Transceptor en PCB 2</t>
        </is>
      </c>
      <c r="B20" s="5" t="inlineStr">
        <is>
          <t>Nivel 2 de la Pila PC/104</t>
        </is>
      </c>
      <c r="C20" s="8" t="inlineStr">
        <is>
          <t>90.0 x 96.0 x 1.6 mm</t>
        </is>
      </c>
      <c r="D20" s="8" t="inlineStr">
        <is>
          <t>35.0 g</t>
        </is>
      </c>
      <c r="E20" s="5" t="inlineStr">
        <is>
          <t>Ocupa una sección apantallada (Shielding Can) de 25x30 mm en el TOP de la PCB 2 (compartida con la OBC). Mantiene alta densidad.</t>
        </is>
      </c>
      <c r="F20" s="6" t="n"/>
      <c r="G20" s="7" t="n"/>
    </row>
  </sheetData>
  <mergeCells count="7">
    <mergeCell ref="A1:G1"/>
    <mergeCell ref="E19:G19"/>
    <mergeCell ref="A3:G3"/>
    <mergeCell ref="E17:G17"/>
    <mergeCell ref="E18:G18"/>
    <mergeCell ref="A16:G16"/>
    <mergeCell ref="E20:G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2026-09-29T02:14:37Z</dcterms:created>
  <dcterms:modified xmlns:dcterms="http://purl.org/dc/terms/" xmlns:xsi="http://www.w3.org/2001/XMLSchema-instance" xsi:type="dcterms:W3CDTF">2026-09-29T02:14:37Z</dcterms:modified>
</cp:coreProperties>
</file>