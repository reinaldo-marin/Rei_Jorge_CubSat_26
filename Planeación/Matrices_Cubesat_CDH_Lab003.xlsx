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_CDH" sheetId="1" r:id="rId5"/>
    <sheet state="visible" name="Especificaciones_CDH" sheetId="2" r:id="rId6"/>
    <sheet state="visible" name="Requisitos_EPS" sheetId="3" r:id="rId7"/>
    <sheet state="visible" name="Especificaciones_EPS" sheetId="4" r:id="rId8"/>
    <sheet state="visible" name="Requisitos_ADCS" sheetId="5" r:id="rId9"/>
    <sheet state="visible" name="Especificaciones_ADCS" sheetId="6" r:id="rId10"/>
    <sheet state="visible" name="Requisitos_CU" sheetId="7" r:id="rId11"/>
    <sheet state="visible" name="Especificaciones_CU" sheetId="8" r:id="rId12"/>
    <sheet state="visible" name="Requisitos_COMM" sheetId="9" r:id="rId13"/>
    <sheet state="visible" name="Especificaciones_COMM" sheetId="10" r:id="rId14"/>
    <sheet state="visible" name="Distribucion_HWSW" sheetId="11" r:id="rId15"/>
    <sheet state="visible" name="Interfaces_Principales" sheetId="12" r:id="rId16"/>
    <sheet state="visible" name="Presupuesto_Potencia" sheetId="13" r:id="rId17"/>
    <sheet state="visible" name="Presupuesto_Datos" sheetId="14" r:id="rId18"/>
    <sheet state="visible" name="Alternativas_Arquitectura" sheetId="15" r:id="rId19"/>
  </sheets>
  <definedNames/>
  <calcPr/>
</workbook>
</file>

<file path=xl/sharedStrings.xml><?xml version="1.0" encoding="utf-8"?>
<sst xmlns="http://schemas.openxmlformats.org/spreadsheetml/2006/main" count="777" uniqueCount="620">
  <si>
    <t>Cód. Req.</t>
  </si>
  <si>
    <t>ID de especificación</t>
  </si>
  <si>
    <t>C&amp;DH Requirements Matrix - 1U CubeSat</t>
  </si>
  <si>
    <t>Tipo</t>
  </si>
  <si>
    <t>Descripción del Requisito</t>
  </si>
  <si>
    <t>Justificación</t>
  </si>
  <si>
    <t>Implementación Hardware</t>
  </si>
  <si>
    <t>Responsabilidad Software</t>
  </si>
  <si>
    <t>Método de Verificación</t>
  </si>
  <si>
    <t>Requisitos asociados</t>
  </si>
  <si>
    <t>Parámetro técnico</t>
  </si>
  <si>
    <t>EPS-001</t>
  </si>
  <si>
    <t>Valor, rango o tolerancia</t>
  </si>
  <si>
    <t>Unidad</t>
  </si>
  <si>
    <t>Fundamento</t>
  </si>
  <si>
    <t>Método previsto de verificación</t>
  </si>
  <si>
    <t>Restricción</t>
  </si>
  <si>
    <t>CDH-ESP-001</t>
  </si>
  <si>
    <t>El sistema debe usar baterías recargables con certificación UL (ej. MH12345).</t>
  </si>
  <si>
    <t>Cumplimiento de normas de seguridad para el lanzamiento.</t>
  </si>
  <si>
    <t>Baterías Li-Ion UL-listed.</t>
  </si>
  <si>
    <t>N/A</t>
  </si>
  <si>
    <t>Inspección de Certificados</t>
  </si>
  <si>
    <t>REQ-CDH-010</t>
  </si>
  <si>
    <t>EPS-002</t>
  </si>
  <si>
    <t>Velocidad de reloj del procesador</t>
  </si>
  <si>
    <t>&gt;100</t>
  </si>
  <si>
    <t>Físico</t>
  </si>
  <si>
    <t>MHz</t>
  </si>
  <si>
    <t>El EPS debe incluir inhibidores eléctricos físicos (Pin RBF y switches de separación en rieles).</t>
  </si>
  <si>
    <t>Evitar encendido accidental durante integración y lanzamiento.</t>
  </si>
  <si>
    <t>Remove Before Flight pin, 2 separation switches.</t>
  </si>
  <si>
    <t>Ejecución de RTOS y manejo de interfaces SPI duales (basado en perfil ESP32)</t>
  </si>
  <si>
    <t>Revisión de datasheet y prueba de software</t>
  </si>
  <si>
    <t>Inspección y Prueba Funcional</t>
  </si>
  <si>
    <t>EPS-003</t>
  </si>
  <si>
    <t>Funcional</t>
  </si>
  <si>
    <t>CDH-ESP-002</t>
  </si>
  <si>
    <t>El EPS debe realizar la conversión y distribución de potencia usando conversores DC-DC Boost/Buck.</t>
  </si>
  <si>
    <t>Proveer los niveles de voltaje adecuados (ej. 3.3V, 5V) a los demás subsistemas.</t>
  </si>
  <si>
    <t>Reguladores de conmutación DC-DC.</t>
  </si>
  <si>
    <t>Prueba de Medición de Voltaje</t>
  </si>
  <si>
    <t>EPS-004</t>
  </si>
  <si>
    <t>REQ-CDH-015</t>
  </si>
  <si>
    <t>Capacidad de memoria no volátil</t>
  </si>
  <si>
    <t>2 - 4</t>
  </si>
  <si>
    <t>El EPS debe monitorear el consumo de corriente y voltaje de los subsistemas.</t>
  </si>
  <si>
    <t>GB</t>
  </si>
  <si>
    <t>Prevenir sobredescarga y proteger contra cortocircuitos.</t>
  </si>
  <si>
    <t>Almacenamiento de imágenes multiespectrales de la carga útil</t>
  </si>
  <si>
    <t>CDH-001</t>
  </si>
  <si>
    <t>Revisión de diseño y prueba de lectura/escritura</t>
  </si>
  <si>
    <t>Sensores de corriente/voltaje (ej. INA219).</t>
  </si>
  <si>
    <t>CDH-ESP-003</t>
  </si>
  <si>
    <t>Lectura de sensores vía I2C y gestión de alarmas.</t>
  </si>
  <si>
    <t>Prueba de Software (HIL)</t>
  </si>
  <si>
    <t>REQ-CDH-020</t>
  </si>
  <si>
    <t>Rango de temperatura operativa</t>
  </si>
  <si>
    <t>El C&amp;DH debe comunicarse con la cámara multiespectral mediante interfaz SPI/I2C.</t>
  </si>
  <si>
    <t>-40 a +85</t>
  </si>
  <si>
    <t>EPS-005</t>
  </si>
  <si>
    <t>Requerido para la captura de imágenes de cultivos de café.</t>
  </si>
  <si>
    <t>Puertos SPI/I2C dedicados en el MCU.</t>
  </si>
  <si>
    <t>°C</t>
  </si>
  <si>
    <t>El EPS no debe contener componentes presurizados o explosivos.</t>
  </si>
  <si>
    <t>Driver SPI/I2C en el RTOS.</t>
  </si>
  <si>
    <t>Requisito estricto de seguridad del estándar CubeSat.</t>
  </si>
  <si>
    <t>Prueba de Interfaz</t>
  </si>
  <si>
    <t>Requisito de componentes grado industrial para ambiente térmico LEO</t>
  </si>
  <si>
    <t>Selección de componentes pasivos y activos seguros.</t>
  </si>
  <si>
    <t>Prueba en cámara térmica (TVAC)</t>
  </si>
  <si>
    <t>Inspección de Diseño</t>
  </si>
  <si>
    <t>CDH-002</t>
  </si>
  <si>
    <t>CDH-ESP-004</t>
  </si>
  <si>
    <t>EPS-006</t>
  </si>
  <si>
    <t>REQ-CDH-025</t>
  </si>
  <si>
    <t>Rendimiento</t>
  </si>
  <si>
    <t>Dimensiones de la PCB</t>
  </si>
  <si>
    <t>El EPS, incluyendo paneles solares (fijos o desplegables), debe ajustarse al presupuesto de masa y volumen de 1U (&lt;1.33kg total).</t>
  </si>
  <si>
    <t>El C&amp;DH debe proveer entre 2GB y 4GB de memoria no volátil (Flash/SD).</t>
  </si>
  <si>
    <t>90 x 96</t>
  </si>
  <si>
    <t>Restricción física fundamental para un CubeSat 1U.</t>
  </si>
  <si>
    <t>Almacenamiento temporal de imágenes antes del downlink a Medellín.</t>
  </si>
  <si>
    <t>PCB PC-104 de bajo perfil, celdas solares eficientes.</t>
  </si>
  <si>
    <t>mm</t>
  </si>
  <si>
    <t>Módulo de memoria Flash o SD card.</t>
  </si>
  <si>
    <t>Compatibilidad con estándar PC-104 para integración en CubeSat 1U</t>
  </si>
  <si>
    <t>Sistema de archivos y gestión de memoria.</t>
  </si>
  <si>
    <t>Medición Física y Pesaje</t>
  </si>
  <si>
    <t>Inspección dimensional</t>
  </si>
  <si>
    <t>Inspección y Prueba</t>
  </si>
  <si>
    <t>CDH-003</t>
  </si>
  <si>
    <t>CDH-ESP-005</t>
  </si>
  <si>
    <t>El C&amp;DH debe adquirir telemetría de los subsistemas ADCS y EPS.</t>
  </si>
  <si>
    <t>REQ-CDH-030</t>
  </si>
  <si>
    <t>Monitoreo del estado de salud del satélite.</t>
  </si>
  <si>
    <t>Buses de comunicación (ej. I2C/UART) hacia EPS y ADCS.</t>
  </si>
  <si>
    <t>Cantidad de buses de comunicación</t>
  </si>
  <si>
    <t>Tarea de recolección de telemetría en el RTOS.</t>
  </si>
  <si>
    <t>Prueba de Software (SIL/HIL)</t>
  </si>
  <si>
    <t>&gt;= 2</t>
  </si>
  <si>
    <t>CDH-004</t>
  </si>
  <si>
    <t>buses</t>
  </si>
  <si>
    <t>Confiabilidad</t>
  </si>
  <si>
    <t>El C&amp;DH debe incluir un Watchdog Timer (WDT) por hardware y mitigación de SEU/SEL.</t>
  </si>
  <si>
    <t>Interfaz simultánea con Carga Útil, ADCS y COMMS (I2C/SPI)</t>
  </si>
  <si>
    <t>Recuperación ante fallos del RTOS o radiación en LEO 550km.</t>
  </si>
  <si>
    <t>WDT independiente, circuitería Latch-up.</t>
  </si>
  <si>
    <t>Inspección esquemática</t>
  </si>
  <si>
    <t>Rutina de reseteo del WDT en la tarea idle.</t>
  </si>
  <si>
    <t>Prueba de Inyección de Fallos</t>
  </si>
  <si>
    <t>CDH-ESP-006</t>
  </si>
  <si>
    <t>CDH-005</t>
  </si>
  <si>
    <t>REQ-CDH-035</t>
  </si>
  <si>
    <t>Voltaje de operación</t>
  </si>
  <si>
    <t>El C&amp;DH debe enviar paquetes de datos al transceptor de radio mediante UART.</t>
  </si>
  <si>
    <t>ET-EPS-001</t>
  </si>
  <si>
    <t>Permitir el enlace de bajada de telemetría e imágenes.</t>
  </si>
  <si>
    <t>Puerto UART dedicado con control de flujo.</t>
  </si>
  <si>
    <t>Driver UART y empaquetado de protocolo.</t>
  </si>
  <si>
    <t>EPS-001 / EPS-004</t>
  </si>
  <si>
    <t>CDH-006</t>
  </si>
  <si>
    <t>Buses de Voltaje Regulado</t>
  </si>
  <si>
    <t>El consumo de potencia del C&amp;DH debe ser minimizado para la misión de 6 meses.</t>
  </si>
  <si>
    <t>Presupuesto de potencia limitado de un CubeSat 1U.</t>
  </si>
  <si>
    <t>Selección de componentes Low-Power.</t>
  </si>
  <si>
    <t>3.3 (Lógica C&amp;DH/ADCS) y 5.0 (Transceptor/Cámara) +/- 5%</t>
  </si>
  <si>
    <t>Modos de bajo consumo (Sleep modes) en el RTOS.</t>
  </si>
  <si>
    <t>Prueba de Medición de Potencia</t>
  </si>
  <si>
    <t>VDC</t>
  </si>
  <si>
    <t>CDH-007</t>
  </si>
  <si>
    <t>Los integrados comerciales del procesador y los sensores operan a 3.3V, mientras que la radio y la cámara exigen típicamente 5V.</t>
  </si>
  <si>
    <t>El C&amp;DH debe cumplir con el estándar PC-104 para CubeSats.</t>
  </si>
  <si>
    <t>Compatibilidad de apilamiento con otros subsistemas.</t>
  </si>
  <si>
    <t>PCB con dimensiones y conectores estándar PC-104.</t>
  </si>
  <si>
    <t>Medición de rizado y estabilidad con osciloscopio bajo carga (LTspice/Físico).</t>
  </si>
  <si>
    <t>Inspección Física</t>
  </si>
  <si>
    <t>CDH-008</t>
  </si>
  <si>
    <t>Ambiental</t>
  </si>
  <si>
    <t>El C&amp;DH debe soportar vacío térmico y vibración de lanzamiento según GSFC-STD-7000.</t>
  </si>
  <si>
    <t>Supervivencia en el entorno espacial y lanzamiento.</t>
  </si>
  <si>
    <t>Componentes de grado espacial, conformal coating.</t>
  </si>
  <si>
    <t>Prueba Ambiental (TVAC y Vibración)</t>
  </si>
  <si>
    <t>ET-EPS-002</t>
  </si>
  <si>
    <t>Capacidad de Almacenamiento de Batería</t>
  </si>
  <si>
    <t>20 a 40</t>
  </si>
  <si>
    <t>Wh</t>
  </si>
  <si>
    <t>Para una órbita LEO a 550 km, el satélite pasará ~35 minutos en eclipse (sin luz solar) por cada ciclo de ~95 min; debe sobrevivir consumiendo solo la batería.</t>
  </si>
  <si>
    <t>Análisis de descarga (Discharge characteristics) y cálculo del Presupuesto de Potencia.</t>
  </si>
  <si>
    <t>V</t>
  </si>
  <si>
    <t>Compatibilidad con el bus de potencia estándar del EPS</t>
  </si>
  <si>
    <t>Medición con multímetro/osciloscopio</t>
  </si>
  <si>
    <t>ET-EPS-003</t>
  </si>
  <si>
    <t>Protección térmica de baterías (Operación)</t>
  </si>
  <si>
    <t>0 a 45</t>
  </si>
  <si>
    <t>Las baterías de ion de litio (UL Listed) pierden eficiencia drásticamente o sufren daños irreversibles si se cargan por debajo de 0°C o superan los 45°C.</t>
  </si>
  <si>
    <t>Verificación del datasheet del fabricante (UL 1642) y prueba TVAC (Termovacío).</t>
  </si>
  <si>
    <t>ET-EPS-004</t>
  </si>
  <si>
    <t>Voltaje de entrada (Paneles Solares)</t>
  </si>
  <si>
    <t>4.5 a 6.0</t>
  </si>
  <si>
    <t>Basado en celdas solares espaciales típicas (GaAs) ensambladas en serie-paralelo para el área superficial del 1U (aprox 10x10 cm).</t>
  </si>
  <si>
    <t>Medición de la curva I-V bajo simulador solar y comprobación de umbrales del convertidor.</t>
  </si>
  <si>
    <t>ET-EPS-005</t>
  </si>
  <si>
    <t>EPS-005 / COM-002</t>
  </si>
  <si>
    <t>Temporizador de Inhibición de Radio</t>
  </si>
  <si>
    <t>45, +1 / -0</t>
  </si>
  <si>
    <t>Minutos</t>
  </si>
  <si>
    <t>Cumplimiento estricto del CubeSat Design Specification (CDS) que prohíbe emisiones RF durante los primeros 45 min tras la expulsión.</t>
  </si>
  <si>
    <t>Prueba de 'Día en la Vida' (DITL) con cronómetro y analizador de espectro.</t>
  </si>
  <si>
    <t>ET-EPS-006</t>
  </si>
  <si>
    <t>Interruptor de Separación de Rieles</t>
  </si>
  <si>
    <t xml:space="preserve">&gt;= 2 </t>
  </si>
  <si>
    <t>Cantidad</t>
  </si>
  <si>
    <t>El estándar CubeSat exige que la potencia principal esté completamente inhibida físicamente mientras el satélite esté dentro del P-POD (dispensador).</t>
  </si>
  <si>
    <t>Inspección mecánica del chasis, multímetro de continuidad (CubeSat Acceptance Checklist).</t>
  </si>
  <si>
    <t>ADCS-REQ-001</t>
  </si>
  <si>
    <t>El sistema debe apuntar la cámara multiespectral hacia la Tierra (nadir) durante las operaciones de captura de imágenes de cultivos de café.</t>
  </si>
  <si>
    <t>Requerido para cumplir el objetivo principal de la misión de observación de la Tierra.</t>
  </si>
  <si>
    <t>Ruedas de reacción (Reaction Wheels), Sensores de Tierra/Sol, Magnetómetros.</t>
  </si>
  <si>
    <t>Ejecutar el lazo de control de apuntamiento a nadir y procesar datos de sensores.</t>
  </si>
  <si>
    <t>Simulación de software en el lazo (SIL) y pruebas de hardware en el lazo (HIL).</t>
  </si>
  <si>
    <t>ADCS-REQ-002</t>
  </si>
  <si>
    <t>El sistema debe maximizar la exposición de los paneles solares al sol cuando no se estén capturando imágenes.</t>
  </si>
  <si>
    <t>Garantizar la recolección de energía suficiente para recargar las baterías y operar los subsistemas.</t>
  </si>
  <si>
    <t>Sensores solares (Sun Sensors), Ruedas de reacción, Magnetorquers.</t>
  </si>
  <si>
    <t>Ejecutar el algoritmo de apuntamiento solar y monitorear la orientación relativa al sol.</t>
  </si>
  <si>
    <t>Análisis de balance energético y simulación de actitud.</t>
  </si>
  <si>
    <t>ADCS-REQ-003</t>
  </si>
  <si>
    <t>El satélite debe realizar una maniobra de detumbling automático (reducción de la tasa de giro) tras la separación del vehículo lanzador.</t>
  </si>
  <si>
    <t>Estabilizar el satélite para permitir el despliegue seguro de antenas y el inicio de operaciones nominales.</t>
  </si>
  <si>
    <t>Magnetorquers, Magnetómetros, Giroscopios.</t>
  </si>
  <si>
    <t>Ejecutar el algoritmo B-dot para control magnético de detumbling.</t>
  </si>
  <si>
    <t>Pruebas de simulación de dinámica orbital y control.</t>
  </si>
  <si>
    <t>ADCS-REQ-004</t>
  </si>
  <si>
    <t>El sistema no debe incluir sistemas de propulsión; solo se permite modificar la orientación, no la trayectoria orbital.</t>
  </si>
  <si>
    <t>Restricción de diseño para satélites 1U debido a limitaciones de masa, volumen y regulaciones de seguridad.</t>
  </si>
  <si>
    <t>Ninguno (No se incluyen propulsores).</t>
  </si>
  <si>
    <t>N/A.</t>
  </si>
  <si>
    <t>Inspección de diseño (CAD) y revisión de la lista de materiales (BOM).</t>
  </si>
  <si>
    <t>ADCS-REQ-005</t>
  </si>
  <si>
    <t>Desempeño</t>
  </si>
  <si>
    <t>El sistema debe ser capaz de determinar su actitud con una precisión de al menos 1 grado en los tres ejes.</t>
  </si>
  <si>
    <t>Precisión mínima requerida para asegurar que las imágenes de los cultivos de café estén centradas y sean útiles.</t>
  </si>
  <si>
    <t>Magnetómetros, Sensores solares, Giroscopios.</t>
  </si>
  <si>
    <t>Ejecutar filtros de estimación de actitud (ej. Filtro de Kalman Extendido).</t>
  </si>
  <si>
    <t>Simulación de Monte Carlo y pruebas con estimadores de actitud.</t>
  </si>
  <si>
    <t>ADCS-REQ-006</t>
  </si>
  <si>
    <t>El ADCS debe operar de forma autónoma basándose en comandos programados desde la estación terrena o transiciones de modo de vuelo.</t>
  </si>
  <si>
    <t>Minimizar la necesidad de intervención en tiempo real, dado el corto tiempo de contacto con la estación terrena.</t>
  </si>
  <si>
    <t>Computadora de a bordo (OBC) interconectada con los sensores y actuadores ADCS.</t>
  </si>
  <si>
    <t>Gestión de modos de operación del ADCS (Detumbling, Nominal, Apuntamiento, Safe Mode).</t>
  </si>
  <si>
    <t>Pruebas de software de vuelo y validación de escenarios operativos.</t>
  </si>
  <si>
    <t>ET-ADCS-001</t>
  </si>
  <si>
    <t>ADCS-001 / CU-004</t>
  </si>
  <si>
    <t>Precisión de Apuntamiento (Nadir)</t>
  </si>
  <si>
    <t>&lt; 5.0</t>
  </si>
  <si>
    <t>Grados</t>
  </si>
  <si>
    <t>Para evitar distorsión severa en las imágenes multiespectrales de los cafetales colombianos desde 550 km, la cámara debe mantenerse dentro de un margen estrecho respecto al eje nadir.</t>
  </si>
  <si>
    <t>Simulación en lazo cerrado del algoritmo de control y cálculo geométrico de campo de visión (FOV).</t>
  </si>
  <si>
    <t>ET-ADCS-002</t>
  </si>
  <si>
    <t>ADCS-002</t>
  </si>
  <si>
    <t>Momento Magnético (Magnetorquers)</t>
  </si>
  <si>
    <t>0.1 a 0.2</t>
  </si>
  <si>
    <t>A·m²</t>
  </si>
  <si>
    <t>Estimación típica para un CubeSat 1U en LEO para superar torques de perturbación (aerodinámicos, gravedad) y realizar maniobras de estabilización (detumbling) eficientes.</t>
  </si>
  <si>
    <t>Medición de campo magnético generado con Gaussímetro en prueba de mesa (FlatSat).</t>
  </si>
  <si>
    <t>ET-ADCS-003</t>
  </si>
  <si>
    <t>ADCS-003</t>
  </si>
  <si>
    <t>Tasa de actualización de sensores (ODR)</t>
  </si>
  <si>
    <t>10 a 50</t>
  </si>
  <si>
    <t>Hz</t>
  </si>
  <si>
    <t>CU-001</t>
  </si>
  <si>
    <t>Los giroscopios y magnetómetros deben muestrear a esta velocidad mínima por SPI/I2C para alimentar el filtro de Kalman (u observador) sin introducir retrasos que inestabilicen el lazo de control de actitud.</t>
  </si>
  <si>
    <t>Lectura del datasheet del sensor IMU y verificación del ciclo de tarea en el RTOS.</t>
  </si>
  <si>
    <t>ET-ADCS-004</t>
  </si>
  <si>
    <t>ADCS-002 / EPS-001</t>
  </si>
  <si>
    <t>Captura de imágenes multiespectrales</t>
  </si>
  <si>
    <t>Voltaje Operativo de Sensores</t>
  </si>
  <si>
    <t>3.3 ± 5%</t>
  </si>
  <si>
    <t>Identificar el estado de la vegetación cafetera midiendo la reflectancia en distintas longitudes de onda (ej. espectro visible e infrarrojo cercano).</t>
  </si>
  <si>
    <t>Cámara multiespectral (ej. sensor CMOS) compatible con PC/104, filtros ópticos.</t>
  </si>
  <si>
    <t>Compatibilidad eléctrica directa con el bus lógico general del sistema de procesamiento central (C&amp;DH) para evitar conversores de nivel lógicos adicionales.</t>
  </si>
  <si>
    <t>Configurar registros del sensor, iniciar exposición de captura y leer el buffer.</t>
  </si>
  <si>
    <t>Revisión del datasheet (VCC / VDD) y medición en prueba de encendido.</t>
  </si>
  <si>
    <t>Prueba de captura y análisis de histograma en banco óptico.</t>
  </si>
  <si>
    <t>ET-ADCS-005</t>
  </si>
  <si>
    <t>ADCS-001</t>
  </si>
  <si>
    <t>Rango Dinámico del Giroscopio</t>
  </si>
  <si>
    <t>± 250 a ± 500</t>
  </si>
  <si>
    <t>°/s</t>
  </si>
  <si>
    <t>Suficiente para medir tasas de rotación (tumble) iniciales altas justo después de la eyección desde el dispensador (P-POD) sin saturar el sensor.</t>
  </si>
  <si>
    <t>Revisión de hoja de especificaciones del sensor inercial (IMU).</t>
  </si>
  <si>
    <t>CU-002</t>
  </si>
  <si>
    <t>Resolución orientada a lotes de cultivo</t>
  </si>
  <si>
    <t>No se requiere diagnosticar plantas individuales; la resolución espacial (GSD) debe ser la adecuada para análisis regionales o de lotes completos.</t>
  </si>
  <si>
    <t>Lentes con campo de visión (FOV) adecuado, sensor de resolución moderada.</t>
  </si>
  <si>
    <t>Empaquetado de los datos crudos. No se requiere ejecutar localmente algoritmos de procesamiento agronómico complejo.</t>
  </si>
  <si>
    <t>Revisión de las especificaciones ópticas y cálculo de GSD a 550 km.</t>
  </si>
  <si>
    <t>CU-003</t>
  </si>
  <si>
    <t>Volumen y transferencia de datos interna</t>
  </si>
  <si>
    <t>Las imágenes generan una gran cantidad de información que debe transferirse velozmente al sistema C&amp;DH para no colapsar la memoria de la cámara.</t>
  </si>
  <si>
    <t>Interfaz de comunicaciones de alta velocidad dedicada (ej. SPI o MIPI CSI-2).</t>
  </si>
  <si>
    <t>Gestión de acceso directo a memoria (DMA) para transferir los datos rápidamente a la memoria no volátil.</t>
  </si>
  <si>
    <t>Medición de la tasa de transferencia en el bus de datos.</t>
  </si>
  <si>
    <t>CU-004</t>
  </si>
  <si>
    <t>Alineación óptica (Nadir)</t>
  </si>
  <si>
    <t>La cámara debe mantener un apuntamiento estable hacia la Tierra para capturar imágenes nítidas de Colombia, sin distorsión por rotación.</t>
  </si>
  <si>
    <t>Montaje mecánico rígido alineado con el eje Z (Nadir) de la estructura del satélite.</t>
  </si>
  <si>
    <t>Coordinación del disparo: solicitar al software del ADCS una confirmación de estabilización antes de capturar la imagen.</t>
  </si>
  <si>
    <t>Verificación de alineación en modelo 3D y análisis de vibración.</t>
  </si>
  <si>
    <t>CU-005</t>
  </si>
  <si>
    <t>Normativo</t>
  </si>
  <si>
    <t>Licencia de Percepción Remota</t>
  </si>
  <si>
    <t>La toma de imágenes orbitales comerciales o académicas está regulada; se requiere determinar la necesidad de una licencia de la NOAA (CRSRA).</t>
  </si>
  <si>
    <t>Ninguno. Requisito puramente regulatorio.</t>
  </si>
  <si>
    <t>Implementar rutinas de cifrado o seguridad en el almacenamiento si la licencia llegase a exigirlo.</t>
  </si>
  <si>
    <t>Aprobación de la solicitud o confirmación de exención por parte de la NOAA.</t>
  </si>
  <si>
    <t>ET-CU-001</t>
  </si>
  <si>
    <t>Bandas Espectrales (Visible y NIR)</t>
  </si>
  <si>
    <t>400 - 700 (VIS), 700 - 1000 (NIR)</t>
  </si>
  <si>
    <t>nm</t>
  </si>
  <si>
    <t>La descripción del proyecto establece explícitamente el uso de espectro visible e infrarrojo cercano para identificar diferencias en la vegetación cafetera.</t>
  </si>
  <si>
    <t>Revisión del datasheet del sensor CMOS y curva de respuesta de los filtros ópticos.</t>
  </si>
  <si>
    <t>ET-CU-002</t>
  </si>
  <si>
    <t>Resolución Espacial (GSD a 550 km)</t>
  </si>
  <si>
    <t>70 a 100</t>
  </si>
  <si>
    <t>m/pixel</t>
  </si>
  <si>
    <t>Rango necesario para analizar lotes de cultivo a nivel regional, acorde a las ópticas viables en un 1U.</t>
  </si>
  <si>
    <t>Cálculo matemático: GSD = (p_efectivo_OV2740 * Altitud) / Longitud Focal.</t>
  </si>
  <si>
    <t>ET-CU-003</t>
  </si>
  <si>
    <t>Volumen de Datos por Captura</t>
  </si>
  <si>
    <t>2 a 10</t>
  </si>
  <si>
    <t>MB</t>
  </si>
  <si>
    <t>Consecuencia de la resolución y profundidad de bits por canal. Afecta directamente el almacenamiento.</t>
  </si>
  <si>
    <t>Cálculo paramétrico de la matriz del sensor y prueba de escritura.</t>
  </si>
  <si>
    <t>ET-CU-004</t>
  </si>
  <si>
    <t>Tasa de Reloj de la Interfaz (SPI/MIPI)</t>
  </si>
  <si>
    <t>&gt;= 10</t>
  </si>
  <si>
    <t>Evitar que el envío de una foto mantenga bloqueado al MCU. Requerirá DMA.</t>
  </si>
  <si>
    <t>Medición con analizador lógico en el bus de datos.</t>
  </si>
  <si>
    <t>ET-CU-005</t>
  </si>
  <si>
    <t>CU-001 / EPS-001</t>
  </si>
  <si>
    <t>Voltaje Operativo del Sensor OV2740</t>
  </si>
  <si>
    <t>3.3 a 5.0</t>
  </si>
  <si>
    <t>Debe ser compatible con los buses regulados del Subsistema de Potencia (EPS).</t>
  </si>
  <si>
    <t>Revisión del datasheet del OV2740.</t>
  </si>
  <si>
    <t>ET-CU-006</t>
  </si>
  <si>
    <t>Tiempo de Exposición (Shutter Speed)</t>
  </si>
  <si>
    <t>&lt; 1.0</t>
  </si>
  <si>
    <t>ms</t>
  </si>
  <si>
    <t>Evitar efecto de barrido (motion blur) dado que el satélite viaja a ~7.5 km/s.</t>
  </si>
  <si>
    <t>Revisión de registros del sensor y pruebas de riel.</t>
  </si>
  <si>
    <t>ET-CU-007</t>
  </si>
  <si>
    <t>Longitud Focal del Lente</t>
  </si>
  <si>
    <t>22 a 35</t>
  </si>
  <si>
    <t>Longitud requerida para acoplarse al tamaño de píxel (p) del sensor OV2740 y proyectar el GSD objetivo de 10-70m desde la órbita de 550 km.</t>
  </si>
  <si>
    <t>Medición óptica de la distancia focal y validación geométrica del FOV.</t>
  </si>
  <si>
    <t>ET-COM-001</t>
  </si>
  <si>
    <t>COM-003</t>
  </si>
  <si>
    <t>Tasa de Transferencia (Downlink)</t>
  </si>
  <si>
    <t>&gt;= 1 (Imágenes) / 9.6 (Telemetría)</t>
  </si>
  <si>
    <t>kbps</t>
  </si>
  <si>
    <t>Descargar varios MB de imágenes en una ventana de visibilidad de ~10 min sobre Medellín requiere un enlace veloz. 9.6 kbps basta para telemetría vital.</t>
  </si>
  <si>
    <t>Cálculo matemático del Presupuesto de Enlace (Link Budget) y prueba de transferencia en banco.</t>
  </si>
  <si>
    <t>ET-COM-002</t>
  </si>
  <si>
    <t>COM-001 / COM-004</t>
  </si>
  <si>
    <t>Frecuencia de Operación (Telemetría)</t>
  </si>
  <si>
    <t>435 a 438</t>
  </si>
  <si>
    <t>Banda designada para operaciones satelitales amateur/experimentales (UHF). Minimiza complejidad del hardware pero requiere coordinación IARU y licencia de la FCC.</t>
  </si>
  <si>
    <t>Medición con analizador de espectro y revisión de la carta de coordinación IARU.</t>
  </si>
  <si>
    <t>ET-COM-003</t>
  </si>
  <si>
    <t>COM-001</t>
  </si>
  <si>
    <t>Potencia de Transmisión (RF)</t>
  </si>
  <si>
    <t>1.0 a 2.0</t>
  </si>
  <si>
    <t>W</t>
  </si>
  <si>
    <t>Rango típico para lograr cerrar el enlace desde la órbita LEO (550 km) manteniendo el consumo de energía dentro del límite del sistema de potencia (EPS).</t>
  </si>
  <si>
    <t>Medición directa en el puerto de la antena con un medidor de potencia RF.</t>
  </si>
  <si>
    <t>ET-COM-004</t>
  </si>
  <si>
    <t>COM-002 / COM-005</t>
  </si>
  <si>
    <t>Temporizador de Inhibición RF y Antenas</t>
  </si>
  <si>
    <t>Cumplimiento estricto del CubeSat Design Specification que prohíbe despliegues y transmisiones hasta 45 min post-expulsión del dispensador.</t>
  </si>
  <si>
    <t>Prueba de Day in The Life (DITL) registrando el tiempo de la primera emisión y el despliegue mecánico.</t>
  </si>
  <si>
    <t>ET-COM-005</t>
  </si>
  <si>
    <t>Sensibilidad del Receptor</t>
  </si>
  <si>
    <t>&lt; -100</t>
  </si>
  <si>
    <t>dBm</t>
  </si>
  <si>
    <t>Garantizar la recepción de los comandos enviados desde la estación terrena, superando las elevadas pérdidas de propagación en el espacio libre (FSPL).</t>
  </si>
  <si>
    <t>Prueba de sensibilidad (BER test) inyectando señales atenuadas con generador RF.</t>
  </si>
  <si>
    <t>Enlace bidireccional con Medellín</t>
  </si>
  <si>
    <t>Enviar telemetría periódica y grandes volúmenes de imágenes a tierra, así como recibir comandos de control desde la estación base en Medellín.</t>
  </si>
  <si>
    <t>Transceptor de radiofrecuencia (ej. UHF/VHF o Banda S), amplificadores, filtros y un controlador (TNC).</t>
  </si>
  <si>
    <t>Codificación de paquetes (ej. AX.25), modulación, gestión de retransmisiones y control de potencia.</t>
  </si>
  <si>
    <t>Prueba de enlace RF con el hardware de la estación terrena en la Universidad.</t>
  </si>
  <si>
    <t>COM-002</t>
  </si>
  <si>
    <t>Silencio de radio tras el despliegue</t>
  </si>
  <si>
    <t>Requisito estricto del CubeSat Design Specification (CDS): no puede haber ninguna emisión RF hasta 45 minutos después de la expulsión del dispensador.</t>
  </si>
  <si>
    <t>Interruptores de separación en los rieles y temporizadores de contingencia (watchdog).</t>
  </si>
  <si>
    <t>Rutina estricta de temporización que bloquee los puertos UART/SPI hacia la radio durante los primeros 45 minutos de encendido.</t>
  </si>
  <si>
    <t>Prueba de 'Día en la Vida' (DITL) midiendo emisiones electromagnéticas.</t>
  </si>
  <si>
    <t>Tasa de transferencia (Data Rate)</t>
  </si>
  <si>
    <t>Las imágenes multiespectrales son pesadas y los pases sobre la estación duran apenas unos minutos; la tasa de bajada debe ser suficiente (ej. &gt;9600 bps).</t>
  </si>
  <si>
    <t>Radio capaz de manejar modulaciones eficientes (ej. GMSK, QPSK) y sistema de antena de ganancia adecuada.</t>
  </si>
  <si>
    <t>Manejo de partición de archivos de imagen y encolamiento eficiente desde la memoria no volátil hacia el radio.</t>
  </si>
  <si>
    <t>Medición experimental del ancho de banda efectivo y análisis del 'Link Budget'.</t>
  </si>
  <si>
    <t>COM-004</t>
  </si>
  <si>
    <t>Subsistema</t>
  </si>
  <si>
    <t>Licenciamiento Experimental</t>
  </si>
  <si>
    <t>Función</t>
  </si>
  <si>
    <t>El uso del espectro de radio no puede causar interferencias perjudiciales; requiere licencias (ej. experimental FCC o coordinación IARU).</t>
  </si>
  <si>
    <t>Tipo de implementación</t>
  </si>
  <si>
    <t>El hardware debe operar estrictamente dentro de las bandas asignadas y filtradas.</t>
  </si>
  <si>
    <t>Recursos de hardware necesarios</t>
  </si>
  <si>
    <t>El software debe incluir la capacidad de silenciar permanentemente las emisiones (Kill Switch) si recibe la orden por riesgo de interferencia.</t>
  </si>
  <si>
    <t>Responsabilidad del software futuro</t>
  </si>
  <si>
    <t>Revisión documental de licencias otorgadas y documento del 'Transmitter Survey'.</t>
  </si>
  <si>
    <t>COM-005</t>
  </si>
  <si>
    <t>Mecanismo de despliegue de antenas</t>
  </si>
  <si>
    <t>Las antenas (como los dipolos UHF/VHF) deben ir plegadas dentro de la estructura de 1U y liberarse solo después de la inyección en órbita.</t>
  </si>
  <si>
    <t>C&amp;DH</t>
  </si>
  <si>
    <t>Mecanismo de retención térmico o mecánico (ej. hilo de nailon cortado por resistencia térmica).</t>
  </si>
  <si>
    <t>Activación del pin GPIO para inyectar corriente al circuito de corte de la antena de forma segura.</t>
  </si>
  <si>
    <t>Orquestación concurrente y supervisión</t>
  </si>
  <si>
    <t>Inspección física y prueba de despliegue post-vibración.</t>
  </si>
  <si>
    <t>Mixta</t>
  </si>
  <si>
    <t>Microcontrolador central de 32-bits, Memoria RAM dedicada, temporizadores de hardware.</t>
  </si>
  <si>
    <t>Ejecutar el RTOS, administrar interrupciones y priorizar tareas sin saturar los buses de datos.</t>
  </si>
  <si>
    <t>El procesador ejecuta las instrucciones, pero el RTOS es indispensable para garantizar el control en tiempo real y evitar bloqueos lógicos en vuelo.</t>
  </si>
  <si>
    <t>Almacenamiento masivo de imágenes</t>
  </si>
  <si>
    <t>Memoria no volátil (Flash SPI o SD) de alta capacidad.</t>
  </si>
  <si>
    <t>Gestionar el sistema de archivos (ej. FAT) y particionar los datos de imágenes pesadas.</t>
  </si>
  <si>
    <t>La memoria provee el soporte físico, pero el código debe estructurar la información para evitar pérdida de datos por corrupción en órbita.</t>
  </si>
  <si>
    <t>EPS</t>
  </si>
  <si>
    <t>Inhibición de encendido en dispensador</t>
  </si>
  <si>
    <t>Hardware</t>
  </si>
  <si>
    <t>Switches de separación mecánicos en los rieles, Pin Remove Before Flight (RBF)</t>
  </si>
  <si>
    <t>Ninguna. El microcontrolador estará apagado y sin energía.</t>
  </si>
  <si>
    <t>El estándar de seguridad exige aislamiento galvánico durante el lanzamiento; un temporizador de software no califica como inhibidor independiente</t>
  </si>
  <si>
    <t>Distribución y regulación de voltaje</t>
  </si>
  <si>
    <t>Convertidores DC-DC (Buck/Boost), baterías recargables estrictamente con certificación UL Listed</t>
  </si>
  <si>
    <t>Ninguna (la regulación opera en un lazo cerrado puramente eléctrico).</t>
  </si>
  <si>
    <t>La conversión de voltaje debe ser robusta, continua e independiente de si el procesador central falla o requiere reiniciarse.</t>
  </si>
  <si>
    <t>Supervisión de consumo y telemetría</t>
  </si>
  <si>
    <t>Sensores de corriente y voltaje (monitores I2C o SPI).</t>
  </si>
  <si>
    <t>Leer periódicamente los registros de consumo y alertar si se detectan picos anormales de corriente.</t>
  </si>
  <si>
    <t>El transductor realiza la medición física, pero el código asume la decisión de apagar módulos (contingencia) para conservar energía.</t>
  </si>
  <si>
    <t>ADCS</t>
  </si>
  <si>
    <t>Estabilización inicial (Detumbling)</t>
  </si>
  <si>
    <t>Magnetómetros, Giroscopios, Magnetorquers (bobinas integradas) y drivers de potencia.</t>
  </si>
  <si>
    <t>Leer la orientación, ejecutar la matemática de control y comandar los actuadores mediante PWM.</t>
  </si>
  <si>
    <t>El satélite no tiene propulsión; el hardware aplica la fuerza magnética contra la Tierra, pero la precisión del giro requiere cálculo lógico dinámico.</t>
  </si>
  <si>
    <t>Carga Útil</t>
  </si>
  <si>
    <t>Sensor CMOS, óptica y filtros para bandas de luz visible e infrarroja cercana</t>
  </si>
  <si>
    <t>Configurar registros de exposición, iniciar disparo y gestionar el acceso directo a memoria (DMA).</t>
  </si>
  <si>
    <t>La conversión fotón-electrón para registrar los lotes de café es física, pero el microcontrolador orquesta el instante exacto coordinado con el ADCS</t>
  </si>
  <si>
    <t>COMMS</t>
  </si>
  <si>
    <t>Transmisión a estación terrestre</t>
  </si>
  <si>
    <t>Transceptor UHF/VHF o Banda S, Antenas de alta ganancia, TNC (Terminal Node Controller)</t>
  </si>
  <si>
    <t>Empaquetar los datos (ej. AX.25), gestionar retransmisiones y silenciar el radio temporalmente.</t>
  </si>
  <si>
    <t>La modulación y radiación de la onda portadora hacia Medellín es física, pero el ensamblaje de la trama de información recae en la lógica.</t>
  </si>
  <si>
    <t>ID</t>
  </si>
  <si>
    <t>Origen</t>
  </si>
  <si>
    <t>Destino</t>
  </si>
  <si>
    <t>Señal o protocolo</t>
  </si>
  <si>
    <t>Características eléctricas preliminares</t>
  </si>
  <si>
    <t>Tasa o volumen de datos</t>
  </si>
  <si>
    <t>Observaciones</t>
  </si>
  <si>
    <t>IF-CU-01</t>
  </si>
  <si>
    <t>Cámara Multiespectral</t>
  </si>
  <si>
    <t>Transferencia de imágenes pesadas y comandos de obturación.</t>
  </si>
  <si>
    <t>SPI (Alta velocidad) o MIPI CSI-2</t>
  </si>
  <si>
    <t>Lógica 3.3V. Si es MIPI, requerirá pares diferenciales de impedancia controlada.</t>
  </si>
  <si>
    <t>&gt; 10 Mbps (En ráfagas)</t>
  </si>
  <si>
    <t>Requerirá Acceso Directo a Memoria (DMA) para trasladar los megabytes sin saturar el procesador.</t>
  </si>
  <si>
    <t>IF-AD-01</t>
  </si>
  <si>
    <t>Sensores IMU (Giroscopio y Magnetómetro)</t>
  </si>
  <si>
    <t>Lectura continua de la orientación espacial del satélite.</t>
  </si>
  <si>
    <t>I2C (Fast Mode) o SPI</t>
  </si>
  <si>
    <t>Lógica 3.3V, requerirá resistencias pull-up si se usa I2C.</t>
  </si>
  <si>
    <t>400 kHz (I2C) o ~1 MHz (SPI)</t>
  </si>
  <si>
    <t>Varios sensores de actitud pueden compartir el mismo bus I2C asignando diferentes direcciones de hardware.</t>
  </si>
  <si>
    <t>IF-AD-02</t>
  </si>
  <si>
    <t>Driver de Magnetorquers</t>
  </si>
  <si>
    <t>Control de la actuación magnética (freno y apuntamiento).</t>
  </si>
  <si>
    <t>PWM y GPIO</t>
  </si>
  <si>
    <t>Señales de control a 3.3V; suministro de potencia a 5.0V.</t>
  </si>
  <si>
    <t>Frecuencia PWM ~10-20 kHz</t>
  </si>
  <si>
    <t>El circuito driver debe aislar la etapa lógica del MCU de los picos de corriente inductiva de las bobinas.</t>
  </si>
  <si>
    <t>IF-AD-03</t>
  </si>
  <si>
    <t>Paneles Solares (Caras Externas)</t>
  </si>
  <si>
    <t>C&amp;DH o ADCS (Sensores Solares)</t>
  </si>
  <si>
    <t>Determinar el vector de incidencia del sol para orientar el satélite.</t>
  </si>
  <si>
    <t>Analógica (ADC) o I2C</t>
  </si>
  <si>
    <t>Niveles de 0 a 3.3V (si es ADC analógico).</t>
  </si>
  <si>
    <t>N/A (Muestreo a ~10 Hz)</t>
  </si>
  <si>
    <t>Fotodiodos ubicados en las 6 caras del cubo. El cableado viaja desde las caras externas hacia la PCB central.</t>
  </si>
  <si>
    <t>IF-CM-01</t>
  </si>
  <si>
    <t>Transceptor de Radio UHF/Banda S</t>
  </si>
  <si>
    <t>Envío de telemetría (AX.25), descarga de imágenes y recepción de comandos.</t>
  </si>
  <si>
    <t>UART</t>
  </si>
  <si>
    <t>Lógica 3.3V.</t>
  </si>
  <si>
    <t>9.6 kbps a 115.2 kbps</t>
  </si>
  <si>
    <t>Líneas TX/RX cruzadas. Se recomienda fuertemente implementar pines de control de flujo por hardware (CTS/RTS).</t>
  </si>
  <si>
    <t>IF-CM-02</t>
  </si>
  <si>
    <t>C&amp;DH o EPS</t>
  </si>
  <si>
    <t>Mecanismo de despliegue de Antenas</t>
  </si>
  <si>
    <t>Activar la liberación mecánica de las antenas tras el temporizador de 45 minutos.</t>
  </si>
  <si>
    <t>GPIO de Potencia (On/Off)</t>
  </si>
  <si>
    <t>Pulso de alta corriente (ej. 1A a 2A a 5V) durante 5 a 10 segundos.</t>
  </si>
  <si>
    <t>Potencia nominal (mW)</t>
  </si>
  <si>
    <t>La corriente funde un hilo térmico (burn-wire). El circuito requiere un MOSFET (driver) para aislar al microcontrolador.</t>
  </si>
  <si>
    <t>Potencia máxima (mW)</t>
  </si>
  <si>
    <t>IF-CM-03</t>
  </si>
  <si>
    <t>Ciclo de actividad estimado (%)</t>
  </si>
  <si>
    <t>Transceptor de Radio</t>
  </si>
  <si>
    <t>Antena Externa UHF/Banda S</t>
  </si>
  <si>
    <t>Energía estimada por órbita (Wh)</t>
  </si>
  <si>
    <t>Transmisión física de la onda portadora hacia el espacio.</t>
  </si>
  <si>
    <t>Masa estimada (g)</t>
  </si>
  <si>
    <t>Coaxial (RF)</t>
  </si>
  <si>
    <t>Volumen asignado (mm)</t>
  </si>
  <si>
    <t>Impedancia estrictamente controlada a 50 ohmios. Potencia de 1W a 2W.</t>
  </si>
  <si>
    <t>Fuente de la estimación</t>
  </si>
  <si>
    <t>N/A (Onda RF)</t>
  </si>
  <si>
    <t>Se usarán conectores especiales (ej. U.FL, MMCX o SMA) y cables coaxiales apantallados.</t>
  </si>
  <si>
    <t>C&amp;DH (Procesamiento y Memoria)</t>
  </si>
  <si>
    <t>IF-CD-01</t>
  </si>
  <si>
    <t>Hardware de Laboratorio (PC)</t>
  </si>
  <si>
    <t>C&amp;DH (Microcontrolador)</t>
  </si>
  <si>
    <t>Programación de firmware (RTOS) y depuración del sistema en tierra.</t>
  </si>
  <si>
    <t>JTAG / SWD / UART</t>
  </si>
  <si>
    <t>Fuente de datos</t>
  </si>
  <si>
    <t>Tasas de Baudios altas para flasheo.</t>
  </si>
  <si>
    <t>Debe dejarse accesible (ej. mediante pines pogo o un header lateral) para no tener que desarmar el satélite al actualizar el código.</t>
  </si>
  <si>
    <t>Datos por adquisición (MB)</t>
  </si>
  <si>
    <t>IF-EP-01</t>
  </si>
  <si>
    <t>Adquisiciones estimadas (por día)</t>
  </si>
  <si>
    <t>EPS (Reguladores)</t>
  </si>
  <si>
    <t>0.32</t>
  </si>
  <si>
    <t>Volumen acumulado (MB por día)</t>
  </si>
  <si>
    <t>Todas las PCBs (C&amp;DH, ADCS, CU, COMMS)</t>
  </si>
  <si>
    <t>PC-104 (90x96x15)</t>
  </si>
  <si>
    <t>Distribución de energía principal a todo el satélite.</t>
  </si>
  <si>
    <t>Almacenamiento requerido para 72h (MB)</t>
  </si>
  <si>
    <t>Estimación basada en MCU 32-bits (ej. ESP32) + Flash SPI + RTOS.</t>
  </si>
  <si>
    <t>Buses de Potencia (VCC / GND)</t>
  </si>
  <si>
    <t>Tasa mínima de transferencia requerida</t>
  </si>
  <si>
    <t>Niveles de +3.3V y +5.0V. Corriente máxima estimada: 2A a 3A.</t>
  </si>
  <si>
    <t>EPS (Control y Regulación DC-DC)</t>
  </si>
  <si>
    <t>N/A (Corriente Continua)</t>
  </si>
  <si>
    <t>Carga Útil (Imágenes Multiespectrales)</t>
  </si>
  <si>
    <t>Al momento de configurar las reglas de diseño y los polígonos en Altium Designer, estos buses requerirán trazos anchos o duplicidad de pines en el header para soportar la corriente.</t>
  </si>
  <si>
    <t>IF-EP-02</t>
  </si>
  <si>
    <t>14.30</t>
  </si>
  <si>
    <t>Monitores de Corriente (EPS)</t>
  </si>
  <si>
    <t>286.00</t>
  </si>
  <si>
    <t>Lectura de la telemetría de salud de las baterías y paneles solares.</t>
  </si>
  <si>
    <t>858.00</t>
  </si>
  <si>
    <t>I2C (Standard Mode)</t>
  </si>
  <si>
    <t>~1420 kbps (Asumiendo 4 pases de 8 min)</t>
  </si>
  <si>
    <t>0.24</t>
  </si>
  <si>
    <t>100 kHz</t>
  </si>
  <si>
    <t>Telemetría General (EPS, ADCS, C&amp;DH)</t>
  </si>
  <si>
    <t>Esta lectura periódica permitirá evaluar si es necesario apagar la cámara por bajo voltaje.</t>
  </si>
  <si>
    <t>Estimación estándar para ICs reguladores Buck/Boost y ADC.</t>
  </si>
  <si>
    <t>EPS (Mecanismo de despliegue)</t>
  </si>
  <si>
    <t>IF-EP-03</t>
  </si>
  <si>
    <t>Estructura (Rieles)</t>
  </si>
  <si>
    <t>EPS (Inhibidores)</t>
  </si>
  <si>
    <t>&lt; 1% (Una vez)</t>
  </si>
  <si>
    <t>Bloqueo físico de encendido dentro del dispensador.</t>
  </si>
  <si>
    <t>0.01</t>
  </si>
  <si>
    <t>8.24</t>
  </si>
  <si>
    <t>Señal de continuidad (Switches mecánicos)</t>
  </si>
  <si>
    <t>24.72</t>
  </si>
  <si>
    <t>~43 kbps</t>
  </si>
  <si>
    <t>Corte directo de la línea principal de la batería (VBAT).</t>
  </si>
  <si>
    <t>Integrado en rieles</t>
  </si>
  <si>
    <t>Baliza de Supervivencia (Beacon RF)</t>
  </si>
  <si>
    <t>La señal no pasa por el MCU, es una interrupción física y análoga de la potencia.</t>
  </si>
  <si>
    <t>Estimación para hilo térmico (Burn-wire) a 5V/2A para antenas/paneles.</t>
  </si>
  <si>
    <t>EPS (Baterías de Litio - Ciclo de Carga)</t>
  </si>
  <si>
    <t>IF-EP-04</t>
  </si>
  <si>
    <t>1000 (Consumo al cargar)</t>
  </si>
  <si>
    <t>Paneles Solares (Externos)</t>
  </si>
  <si>
    <t>2000 (Carga rápida)</t>
  </si>
  <si>
    <t>0.17</t>
  </si>
  <si>
    <t>EPS (Reguladores MPPT)</t>
  </si>
  <si>
    <t>63% (Fase de Sol)</t>
  </si>
  <si>
    <t>0.00</t>
  </si>
  <si>
    <t>Suministro de energía bruta desde el sol hacia la tarjeta de potencia.</t>
  </si>
  <si>
    <t>N/A (Búfer de 20-40 Wh)</t>
  </si>
  <si>
    <t>~2 kbps</t>
  </si>
  <si>
    <t>Líneas de Potencia DC (No reguladas)</t>
  </si>
  <si>
    <t>Comandos Terrenos (Uplink)</t>
  </si>
  <si>
    <t>Voltaje variable (aprox. 4.5V a 6.0V) dependiente de la iluminación.</t>
  </si>
  <si>
    <t>PC-104 (90x96x20)</t>
  </si>
  <si>
    <t>Datasheet típico de celdas 18650 de ion de litio (UL Listed).</t>
  </si>
  <si>
    <t>0.20</t>
  </si>
  <si>
    <t>Requiere ruteo para corriente moderada. Es vital para recargar las baterías.</t>
  </si>
  <si>
    <t>1.00</t>
  </si>
  <si>
    <t>EPS (Paneles Solares - Generación)</t>
  </si>
  <si>
    <t>~10 kbps</t>
  </si>
  <si>
    <t>-2500 (Generación en sol)</t>
  </si>
  <si>
    <t>Margen de Protocolo (Overhead RF 20%)</t>
  </si>
  <si>
    <t>-3500 (Pico iluminación)</t>
  </si>
  <si>
    <t>-2.50 (Energía aportada)</t>
  </si>
  <si>
    <t>58.92</t>
  </si>
  <si>
    <t>Caras externas (100x100x2 x 6)</t>
  </si>
  <si>
    <t>176.54</t>
  </si>
  <si>
    <t>Celdas GaAs espaciales típicas y sustrato FR4.</t>
  </si>
  <si>
    <t>N/A (Se absorbe en la transmisión)</t>
  </si>
  <si>
    <t>ADCS (Sensores y Actuadores)</t>
  </si>
  <si>
    <t>TOTAL SISTEMA CUBESAT 1U</t>
  </si>
  <si>
    <t>353.53</t>
  </si>
  <si>
    <t>0.51</t>
  </si>
  <si>
    <t>1060.26</t>
  </si>
  <si>
    <t>&gt; 1800 kbps (Exige Transceptor Banda S)</t>
  </si>
  <si>
    <t>Datasheets de IMU y bobinas embebidas. El satélite no usa propulsión</t>
  </si>
  <si>
    <t>Carga Útil (Cámara Multiespectral)</t>
  </si>
  <si>
    <t>0.12</t>
  </si>
  <si>
    <t>Módulo (50x50x30)</t>
  </si>
  <si>
    <t>Estimación comercial para cámara CMOS multiespectral.</t>
  </si>
  <si>
    <t>COMMS (Transceptor UHF/Banda S)</t>
  </si>
  <si>
    <t>0.84</t>
  </si>
  <si>
    <t>Presupuesto conservador de RF a 1W-2W de transmisión.</t>
  </si>
  <si>
    <t>Estructura (Chassis 1U y hardware)</t>
  </si>
  <si>
    <t>100x100x113 (Externo)</t>
  </si>
  <si>
    <t>Masa estándar de un chasis CubeSat de Aluminio 6061.</t>
  </si>
  <si>
    <t>MARGEN DE SEGURIDAD (20%)</t>
  </si>
  <si>
    <t>0.40</t>
  </si>
  <si>
    <t>Práctica de diseño aeroespacial para incertidumbre en fase preliminar.</t>
  </si>
  <si>
    <t>780 (Carga Base)</t>
  </si>
  <si>
    <t>23160 (Pico absoluto con despliegue)</t>
  </si>
  <si>
    <t>2.44 Wh (Consumida total)</t>
  </si>
  <si>
    <t>1230 g (Límite 1330 g)</t>
  </si>
  <si>
    <t>Unidad 1U Estándar</t>
  </si>
  <si>
    <t>Suma paramétrica de diseño de misión.</t>
  </si>
  <si>
    <t>Criterio</t>
  </si>
  <si>
    <t>Peso (%)</t>
  </si>
  <si>
    <t>Alternativa A: Centralizada (1 a 5)</t>
  </si>
  <si>
    <t>Alternativa B: Distribuida (1 a 5)</t>
  </si>
  <si>
    <t>Justificación de la valoración</t>
  </si>
  <si>
    <t>Capacidad de procesamiento y concurrencia</t>
  </si>
  <si>
    <t>Alt A puede sufrir cuellos de botella al transferir megabytes de la cámara. Alt B (procesador dedicado a carga útil) garantiza concurrencia real, liberando al C&amp;DH central para procesar el ADCS y las telecomunicaciones sin latencia.</t>
  </si>
  <si>
    <t>Alternativa A (Centralizada): Un solo microcontrolador muy potente (ej. ARM Cortex-M7 de 32-bits) que ejecuta todas las tareas del satélite bajo un robusto RTOS. Es una solución totalmente viable y económica, pero centraliza el riesgo.</t>
  </si>
  <si>
    <t>Consumo de energía y gestión térmica</t>
  </si>
  <si>
    <t>Alt B permite apagar físicamente (power gating) el procesador de la cámara y su memoria durante el 95% de la órbita donde no sobrevuela Colombia, ahorrando mucha más energía neta que Alt A a pesar de requerir dos chips en placa.</t>
  </si>
  <si>
    <t>Alternativa B (Distribuida): Una arquitectura de doble procesador. Un MCU principal ejerce como "Cerebro" (C&amp;DH) administrando la energía (EPS), la orientación (ADCS) y las comunicaciones (COMMS). Un segundo MCU secundario se dedica exclusivamente a la Carga Útil, encendiendo la cámara multiespectral, capturando los cafetales colombianos y apagándose por completo al terminar.</t>
  </si>
  <si>
    <t>Riesgo técnico y confiabilidad</t>
  </si>
  <si>
    <t>En Alt A, un bloqueo lógico (crash) por manejar los datos pesados de la cámara reinicia todo el satélite. En Alt B, si la placa de la cámara falla, el C&amp;DH principal sigue vivo enviando telemetría y estabilizando el CubeSat.</t>
  </si>
  <si>
    <t>Complejidad del diseño y ruteo PCB</t>
  </si>
  <si>
    <t>Alt A requiere rutear un solo microcontrolador, lo cual es más sencillo. Alt B exige diseñar buses físicos de comunicación inter-procesador (SPI/UART) y lidiar con mayor densidad de pistas en el estándar PC/104[cite: 1, 2].</t>
  </si>
  <si>
    <t>Facilidad de integración y prueba</t>
  </si>
  <si>
    <t>Alt B permite que la cámara se programe y pruebe de forma 100% independiente en el laboratorio (FlatSat), mientras otra tarjeta prueba simultáneamente el sistema de potencia o ADCS, agilizando el flujo de trabajo.</t>
  </si>
  <si>
    <t>Masa y volumen</t>
  </si>
  <si>
    <t>Alt A ocupa menos área superficial en la PCB. Alt B requiere duplicar componentes de soporte (cristales, reguladores LDO locales), pero el peso extra es marginal y viable dentro del límite de ~1.33 kg del CubeSat 1U.</t>
  </si>
  <si>
    <t>PUNTAJE PONDERADO TOTAL</t>
  </si>
  <si>
    <t>2.70</t>
  </si>
  <si>
    <t>3.85</t>
  </si>
  <si>
    <t>La arquitectura distribuida (Alternativa B) es superior técnica y operativamente. El aislamiento de la cámara multiespectral reduce el riesgo de fallo general, justificando asumir el reto de una PCB más compleja.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</si>
</sst>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sz val="11.0"/>
      <color rgb="FFFFFFFF"/>
      <name val="Montserrat"/>
    </font>
    <font>
      <b/>
      <sz val="14.0"/>
      <color rgb="FF425D90"/>
      <name val="Montserrat"/>
    </font>
    <font>
      <sz val="10.0"/>
      <color rgb="FF191A1F"/>
      <name val="Roboto"/>
    </font>
    <font>
      <color rgb="FF1A1B20"/>
      <name val="Roboto"/>
    </font>
    <font>
      <sz val="10.0"/>
      <color rgb="FF1A1B20"/>
      <name val="Roboto"/>
    </font>
    <font>
      <color theme="1"/>
      <name val="Arial"/>
    </font>
    <font>
      <color rgb="FF181B2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425D90"/>
        <bgColor rgb="FF425D90"/>
      </patternFill>
    </fill>
    <fill>
      <patternFill patternType="solid">
        <fgColor rgb="FFF9F9FF"/>
        <bgColor rgb="FFF9F9FF"/>
      </patternFill>
    </fill>
    <fill>
      <patternFill patternType="solid">
        <fgColor rgb="FFFFFFFF"/>
        <bgColor rgb="FFFFFFFF"/>
      </patternFill>
    </fill>
    <fill>
      <patternFill patternType="solid">
        <fgColor rgb="FF38608F"/>
        <bgColor rgb="FF38608F"/>
      </patternFill>
    </fill>
    <fill>
      <patternFill patternType="solid">
        <fgColor rgb="FFF7F9FF"/>
        <bgColor rgb="FFF7F9FF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shrinkToFit="0" vertical="bottom" wrapText="1"/>
    </xf>
    <xf borderId="1" fillId="2" fontId="1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shrinkToFit="0" vertical="bottom" wrapText="1"/>
    </xf>
    <xf borderId="1" fillId="3" fontId="5" numFmtId="0" xfId="0" applyAlignment="1" applyBorder="1" applyFill="1" applyFont="1">
      <alignment readingOrder="0"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0" fontId="6" numFmtId="0" xfId="0" applyAlignment="1" applyFont="1">
      <alignment vertical="bottom"/>
    </xf>
    <xf borderId="1" fillId="4" fontId="4" numFmtId="164" xfId="0" applyAlignment="1" applyBorder="1" applyFill="1" applyFont="1" applyNumberFormat="1">
      <alignment horizontal="right" shrinkToFit="0" vertical="bottom" wrapText="1"/>
    </xf>
    <xf borderId="1" fillId="0" fontId="3" numFmtId="0" xfId="0" applyAlignment="1" applyBorder="1" applyFont="1">
      <alignment readingOrder="0" shrinkToFit="0" vertical="center" wrapText="1"/>
    </xf>
    <xf borderId="1" fillId="5" fontId="1" numFmtId="0" xfId="0" applyAlignment="1" applyBorder="1" applyFill="1" applyFont="1">
      <alignment horizontal="center" shrinkToFit="0" wrapText="1"/>
    </xf>
    <xf borderId="1" fillId="6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5" fontId="1" numFmtId="0" xfId="0" applyAlignment="1" applyBorder="1" applyFill="1" applyFont="1">
      <alignment horizontal="center" readingOrder="0" shrinkToFit="0" wrapText="1"/>
    </xf>
    <xf borderId="1" fillId="6" fontId="7" numFmtId="0" xfId="0" applyAlignment="1" applyBorder="1" applyFill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top" wrapText="1"/>
    </xf>
    <xf borderId="1" fillId="0" fontId="1" numFmtId="0" xfId="0" applyAlignment="1" applyBorder="1" applyFont="1">
      <alignment horizontal="center" shrinkToFit="0" wrapText="1"/>
    </xf>
    <xf borderId="1" fillId="7" fontId="7" numFmtId="0" xfId="0" applyAlignment="1" applyBorder="1" applyFill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8" fontId="7" numFmtId="0" xfId="0" applyAlignment="1" applyBorder="1" applyFill="1" applyFont="1">
      <alignment shrinkToFit="0" vertical="top" wrapText="1"/>
    </xf>
    <xf borderId="1" fillId="8" fontId="7" numFmtId="0" xfId="0" applyAlignment="1" applyBorder="1" applyFill="1" applyFont="1">
      <alignment readingOrder="0" shrinkToFit="0" vertical="top" wrapText="1"/>
    </xf>
    <xf borderId="1" fillId="9" fontId="7" numFmtId="0" xfId="0" applyAlignment="1" applyBorder="1" applyFill="1" applyFont="1">
      <alignment shrinkToFit="0" vertical="top" wrapText="1"/>
    </xf>
    <xf borderId="1" fillId="9" fontId="7" numFmtId="0" xfId="0" applyAlignment="1" applyBorder="1" applyFill="1" applyFont="1">
      <alignment readingOrder="0" shrinkToFit="0" vertical="top" wrapText="1"/>
    </xf>
    <xf borderId="1" fillId="10" fontId="7" numFmtId="0" xfId="0" applyAlignment="1" applyBorder="1" applyFill="1" applyFont="1">
      <alignment shrinkToFit="0" vertical="top" wrapText="1"/>
    </xf>
    <xf borderId="1" fillId="10" fontId="7" numFmtId="0" xfId="0" applyAlignment="1" applyBorder="1" applyFill="1" applyFont="1">
      <alignment readingOrder="0" shrinkToFit="0" vertical="top" wrapText="1"/>
    </xf>
    <xf borderId="2" fillId="11" fontId="7" numFmtId="0" xfId="0" applyAlignment="1" applyBorder="1" applyFill="1" applyFont="1">
      <alignment shrinkToFit="0" vertical="top" wrapText="1"/>
    </xf>
    <xf borderId="2" fillId="11" fontId="7" numFmtId="0" xfId="0" applyAlignment="1" applyBorder="1" applyFill="1" applyFont="1">
      <alignment readingOrder="0" shrinkToFit="0" vertical="top" wrapText="1"/>
    </xf>
    <xf borderId="2" fillId="0" fontId="7" numFmtId="0" xfId="0" applyAlignment="1" applyBorder="1" applyFont="1">
      <alignment shrinkToFit="0" vertical="top" wrapText="1"/>
    </xf>
    <xf borderId="0" fillId="6" fontId="7" numFmtId="0" xfId="0" applyAlignment="1" applyFill="1" applyFont="1">
      <alignment shrinkToFit="0" vertical="top" wrapText="1"/>
    </xf>
    <xf borderId="0" fillId="4" fontId="7" numFmtId="0" xfId="0" applyAlignment="1" applyFill="1" applyFont="1">
      <alignment shrinkToFit="0" vertical="top" wrapText="1"/>
    </xf>
    <xf borderId="1" fillId="6" fontId="7" numFmtId="9" xfId="0" applyAlignment="1" applyBorder="1" applyFill="1" applyFont="1" applyNumberFormat="1">
      <alignment readingOrder="0" shrinkToFit="0" vertical="top" wrapText="1"/>
    </xf>
    <xf borderId="1" fillId="4" fontId="7" numFmtId="9" xfId="0" applyAlignment="1" applyBorder="1" applyFill="1" applyFont="1" applyNumberFormat="1">
      <alignment readingOrder="0" shrinkToFit="0" vertical="top" wrapText="1"/>
    </xf>
    <xf borderId="1" fillId="4" fontId="7" numFmtId="3" xfId="0" applyAlignment="1" applyBorder="1" applyFill="1" applyFont="1" applyNumberFormat="1">
      <alignment readingOrder="0" shrinkToFit="0" vertical="top" wrapText="1"/>
    </xf>
    <xf borderId="1" fillId="6" fontId="7" numFmtId="3" xfId="0" applyAlignment="1" applyBorder="1" applyFill="1" applyFont="1" applyNumberFormat="1">
      <alignment readingOrder="0" shrinkToFit="0" vertical="top" wrapText="1"/>
    </xf>
    <xf borderId="1" fillId="12" fontId="7" numFmtId="0" xfId="0" applyAlignment="1" applyBorder="1" applyFill="1" applyFont="1">
      <alignment readingOrder="0" shrinkToFit="0" vertical="top" wrapText="1"/>
    </xf>
    <xf borderId="1" fillId="13" fontId="7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2"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16.63"/>
    <col customWidth="1" min="3" max="3" width="10.5"/>
    <col customWidth="1" min="4" max="4" width="33.38"/>
    <col customWidth="1" min="5" max="5" width="18.25"/>
    <col customWidth="1" min="6" max="6" width="30.13"/>
    <col customWidth="1" min="7" max="7" width="30.38"/>
    <col customWidth="1" min="8" max="8" width="28.0"/>
  </cols>
  <sheetData>
    <row r="2">
      <c r="B2" s="3" t="s">
        <v>2</v>
      </c>
    </row>
    <row r="4">
      <c r="B4" s="6" t="s">
        <v>0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</row>
    <row r="5">
      <c r="B5" s="8" t="s">
        <v>50</v>
      </c>
      <c r="C5" s="8" t="s">
        <v>36</v>
      </c>
      <c r="D5" s="8" t="s">
        <v>58</v>
      </c>
      <c r="E5" s="8" t="s">
        <v>61</v>
      </c>
      <c r="F5" s="8" t="s">
        <v>62</v>
      </c>
      <c r="G5" s="8" t="s">
        <v>65</v>
      </c>
      <c r="H5" s="8" t="s">
        <v>67</v>
      </c>
    </row>
    <row r="6">
      <c r="B6" s="9" t="s">
        <v>72</v>
      </c>
      <c r="C6" s="9" t="s">
        <v>76</v>
      </c>
      <c r="D6" s="9" t="s">
        <v>79</v>
      </c>
      <c r="E6" s="9" t="s">
        <v>82</v>
      </c>
      <c r="F6" s="9" t="s">
        <v>85</v>
      </c>
      <c r="G6" s="9" t="s">
        <v>87</v>
      </c>
      <c r="H6" s="9" t="s">
        <v>90</v>
      </c>
    </row>
    <row r="7">
      <c r="B7" s="8" t="s">
        <v>91</v>
      </c>
      <c r="C7" s="8" t="s">
        <v>36</v>
      </c>
      <c r="D7" s="8" t="s">
        <v>93</v>
      </c>
      <c r="E7" s="8" t="s">
        <v>95</v>
      </c>
      <c r="F7" s="8" t="s">
        <v>96</v>
      </c>
      <c r="G7" s="8" t="s">
        <v>98</v>
      </c>
      <c r="H7" s="8" t="s">
        <v>99</v>
      </c>
    </row>
    <row r="8">
      <c r="B8" s="9" t="s">
        <v>101</v>
      </c>
      <c r="C8" s="9" t="s">
        <v>103</v>
      </c>
      <c r="D8" s="9" t="s">
        <v>104</v>
      </c>
      <c r="E8" s="9" t="s">
        <v>106</v>
      </c>
      <c r="F8" s="9" t="s">
        <v>107</v>
      </c>
      <c r="G8" s="9" t="s">
        <v>109</v>
      </c>
      <c r="H8" s="9" t="s">
        <v>110</v>
      </c>
    </row>
    <row r="9">
      <c r="B9" s="8" t="s">
        <v>112</v>
      </c>
      <c r="C9" s="8" t="s">
        <v>36</v>
      </c>
      <c r="D9" s="8" t="s">
        <v>115</v>
      </c>
      <c r="E9" s="8" t="s">
        <v>117</v>
      </c>
      <c r="F9" s="8" t="s">
        <v>118</v>
      </c>
      <c r="G9" s="8" t="s">
        <v>119</v>
      </c>
      <c r="H9" s="8" t="s">
        <v>67</v>
      </c>
    </row>
    <row r="10">
      <c r="B10" s="9" t="s">
        <v>121</v>
      </c>
      <c r="C10" s="9" t="s">
        <v>16</v>
      </c>
      <c r="D10" s="9" t="s">
        <v>123</v>
      </c>
      <c r="E10" s="9" t="s">
        <v>124</v>
      </c>
      <c r="F10" s="9" t="s">
        <v>125</v>
      </c>
      <c r="G10" s="9" t="s">
        <v>127</v>
      </c>
      <c r="H10" s="9" t="s">
        <v>128</v>
      </c>
    </row>
    <row r="11">
      <c r="B11" s="8" t="s">
        <v>130</v>
      </c>
      <c r="C11" s="8" t="s">
        <v>27</v>
      </c>
      <c r="D11" s="8" t="s">
        <v>132</v>
      </c>
      <c r="E11" s="8" t="s">
        <v>133</v>
      </c>
      <c r="F11" s="8" t="s">
        <v>134</v>
      </c>
      <c r="G11" s="8" t="s">
        <v>21</v>
      </c>
      <c r="H11" s="8" t="s">
        <v>136</v>
      </c>
    </row>
    <row r="12">
      <c r="B12" s="9" t="s">
        <v>137</v>
      </c>
      <c r="C12" s="9" t="s">
        <v>138</v>
      </c>
      <c r="D12" s="9" t="s">
        <v>139</v>
      </c>
      <c r="E12" s="9" t="s">
        <v>140</v>
      </c>
      <c r="F12" s="9" t="s">
        <v>141</v>
      </c>
      <c r="G12" s="9" t="s">
        <v>21</v>
      </c>
      <c r="H12" s="9" t="s">
        <v>142</v>
      </c>
    </row>
  </sheetData>
  <mergeCells count="1">
    <mergeCell ref="B2:H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1.75"/>
    <col customWidth="1" min="3" max="3" width="18.75"/>
    <col customWidth="1" min="4" max="4" width="25.13"/>
    <col customWidth="1" min="5" max="5" width="8.75"/>
    <col customWidth="1" min="6" max="6" width="24.0"/>
    <col customWidth="1" min="7" max="7" width="23.0"/>
  </cols>
  <sheetData>
    <row r="1">
      <c r="A1" s="2" t="s">
        <v>1</v>
      </c>
      <c r="B1" s="2" t="s">
        <v>9</v>
      </c>
      <c r="C1" s="2" t="s">
        <v>10</v>
      </c>
      <c r="D1" s="2" t="s">
        <v>12</v>
      </c>
      <c r="E1" s="2" t="s">
        <v>13</v>
      </c>
      <c r="F1" s="2" t="s">
        <v>14</v>
      </c>
      <c r="G1" s="2" t="s">
        <v>15</v>
      </c>
    </row>
    <row r="2">
      <c r="A2" s="5" t="s">
        <v>17</v>
      </c>
      <c r="B2" s="5" t="s">
        <v>23</v>
      </c>
      <c r="C2" s="5" t="s">
        <v>25</v>
      </c>
      <c r="D2" s="5" t="s">
        <v>26</v>
      </c>
      <c r="E2" s="5" t="s">
        <v>28</v>
      </c>
      <c r="F2" s="5" t="s">
        <v>32</v>
      </c>
      <c r="G2" s="5" t="s">
        <v>33</v>
      </c>
    </row>
    <row r="3">
      <c r="A3" s="7" t="s">
        <v>37</v>
      </c>
      <c r="B3" s="7" t="s">
        <v>43</v>
      </c>
      <c r="C3" s="7" t="s">
        <v>44</v>
      </c>
      <c r="D3" s="7" t="s">
        <v>45</v>
      </c>
      <c r="E3" s="7" t="s">
        <v>47</v>
      </c>
      <c r="F3" s="7" t="s">
        <v>49</v>
      </c>
      <c r="G3" s="7" t="s">
        <v>51</v>
      </c>
    </row>
    <row r="4">
      <c r="A4" s="5" t="s">
        <v>53</v>
      </c>
      <c r="B4" s="5" t="s">
        <v>56</v>
      </c>
      <c r="C4" s="5" t="s">
        <v>57</v>
      </c>
      <c r="D4" s="5" t="s">
        <v>59</v>
      </c>
      <c r="E4" s="5" t="s">
        <v>63</v>
      </c>
      <c r="F4" s="5" t="s">
        <v>68</v>
      </c>
      <c r="G4" s="5" t="s">
        <v>70</v>
      </c>
    </row>
    <row r="5">
      <c r="A5" s="7" t="s">
        <v>73</v>
      </c>
      <c r="B5" s="7" t="s">
        <v>75</v>
      </c>
      <c r="C5" s="7" t="s">
        <v>77</v>
      </c>
      <c r="D5" s="7" t="s">
        <v>80</v>
      </c>
      <c r="E5" s="7" t="s">
        <v>84</v>
      </c>
      <c r="F5" s="7" t="s">
        <v>86</v>
      </c>
      <c r="G5" s="7" t="s">
        <v>89</v>
      </c>
    </row>
    <row r="6">
      <c r="A6" s="5" t="s">
        <v>92</v>
      </c>
      <c r="B6" s="5" t="s">
        <v>94</v>
      </c>
      <c r="C6" s="5" t="s">
        <v>97</v>
      </c>
      <c r="D6" s="5" t="s">
        <v>100</v>
      </c>
      <c r="E6" s="5" t="s">
        <v>102</v>
      </c>
      <c r="F6" s="5" t="s">
        <v>105</v>
      </c>
      <c r="G6" s="5" t="s">
        <v>108</v>
      </c>
    </row>
    <row r="7">
      <c r="A7" s="7" t="s">
        <v>111</v>
      </c>
      <c r="B7" s="7" t="s">
        <v>113</v>
      </c>
      <c r="C7" s="7" t="s">
        <v>114</v>
      </c>
      <c r="D7" s="11">
        <v>46084.0</v>
      </c>
      <c r="E7" s="7" t="s">
        <v>149</v>
      </c>
      <c r="F7" s="7" t="s">
        <v>150</v>
      </c>
      <c r="G7" s="7" t="s">
        <v>151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9.0"/>
    <col customWidth="1" min="3" max="5" width="31.38"/>
    <col customWidth="1" min="6" max="7" width="25.1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>
      <c r="A2" s="4" t="s">
        <v>11</v>
      </c>
      <c r="B2" s="4" t="s">
        <v>16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</row>
    <row r="3">
      <c r="A3" s="4" t="s">
        <v>24</v>
      </c>
      <c r="B3" s="4" t="s">
        <v>27</v>
      </c>
      <c r="C3" s="4" t="s">
        <v>29</v>
      </c>
      <c r="D3" s="4" t="s">
        <v>30</v>
      </c>
      <c r="E3" s="4" t="s">
        <v>31</v>
      </c>
      <c r="F3" s="4" t="s">
        <v>21</v>
      </c>
      <c r="G3" s="4" t="s">
        <v>34</v>
      </c>
    </row>
    <row r="4">
      <c r="A4" s="4" t="s">
        <v>35</v>
      </c>
      <c r="B4" s="4" t="s">
        <v>36</v>
      </c>
      <c r="C4" s="4" t="s">
        <v>38</v>
      </c>
      <c r="D4" s="4" t="s">
        <v>39</v>
      </c>
      <c r="E4" s="4" t="s">
        <v>40</v>
      </c>
      <c r="F4" s="4" t="s">
        <v>21</v>
      </c>
      <c r="G4" s="4" t="s">
        <v>41</v>
      </c>
    </row>
    <row r="5">
      <c r="A5" s="4" t="s">
        <v>42</v>
      </c>
      <c r="B5" s="4" t="s">
        <v>36</v>
      </c>
      <c r="C5" s="4" t="s">
        <v>46</v>
      </c>
      <c r="D5" s="4" t="s">
        <v>48</v>
      </c>
      <c r="E5" s="4" t="s">
        <v>52</v>
      </c>
      <c r="F5" s="4" t="s">
        <v>54</v>
      </c>
      <c r="G5" s="4" t="s">
        <v>55</v>
      </c>
    </row>
    <row r="6">
      <c r="A6" s="4" t="s">
        <v>60</v>
      </c>
      <c r="B6" s="4" t="s">
        <v>16</v>
      </c>
      <c r="C6" s="4" t="s">
        <v>64</v>
      </c>
      <c r="D6" s="4" t="s">
        <v>66</v>
      </c>
      <c r="E6" s="4" t="s">
        <v>69</v>
      </c>
      <c r="F6" s="4" t="s">
        <v>21</v>
      </c>
      <c r="G6" s="4" t="s">
        <v>71</v>
      </c>
    </row>
    <row r="7">
      <c r="A7" s="4" t="s">
        <v>74</v>
      </c>
      <c r="B7" s="4" t="s">
        <v>27</v>
      </c>
      <c r="C7" s="4" t="s">
        <v>78</v>
      </c>
      <c r="D7" s="4" t="s">
        <v>81</v>
      </c>
      <c r="E7" s="4" t="s">
        <v>83</v>
      </c>
      <c r="F7" s="4" t="s">
        <v>21</v>
      </c>
      <c r="G7" s="4" t="s">
        <v>88</v>
      </c>
    </row>
  </sheetData>
  <conditionalFormatting sqref="A2:G7">
    <cfRule type="expression" dxfId="0" priority="1" stopIfTrue="1">
      <formula>ISEVEN(ROW())</formula>
    </cfRule>
  </conditionalFormatting>
  <conditionalFormatting sqref="A2:G7">
    <cfRule type="expression" dxfId="1" priority="2" stopIfTrue="1">
      <formula>ISODD(ROW())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4.13"/>
    <col customWidth="1" min="3" max="3" width="20.0"/>
    <col customWidth="1" min="4" max="4" width="24.75"/>
    <col customWidth="1" min="5" max="5" width="12.63"/>
    <col customWidth="1" min="6" max="6" width="24.88"/>
    <col customWidth="1" min="7" max="7" width="32.0"/>
  </cols>
  <sheetData>
    <row r="1">
      <c r="A1" s="1" t="s">
        <v>1</v>
      </c>
      <c r="B1" s="1" t="s">
        <v>9</v>
      </c>
      <c r="C1" s="1" t="s">
        <v>10</v>
      </c>
      <c r="D1" s="1" t="s">
        <v>12</v>
      </c>
      <c r="E1" s="1" t="s">
        <v>13</v>
      </c>
      <c r="F1" s="1" t="s">
        <v>14</v>
      </c>
      <c r="G1" s="1" t="s">
        <v>15</v>
      </c>
      <c r="H1" s="10"/>
      <c r="I1" s="10"/>
      <c r="J1" s="10"/>
      <c r="K1" s="10"/>
      <c r="L1" s="10"/>
      <c r="M1" s="10"/>
    </row>
    <row r="2">
      <c r="A2" s="4" t="s">
        <v>116</v>
      </c>
      <c r="B2" s="4" t="s">
        <v>120</v>
      </c>
      <c r="C2" s="4" t="s">
        <v>122</v>
      </c>
      <c r="D2" s="4" t="s">
        <v>126</v>
      </c>
      <c r="E2" s="4" t="s">
        <v>129</v>
      </c>
      <c r="F2" s="4" t="s">
        <v>131</v>
      </c>
      <c r="G2" s="4" t="s">
        <v>135</v>
      </c>
      <c r="H2" s="10"/>
      <c r="I2" s="10"/>
      <c r="J2" s="10"/>
      <c r="K2" s="10"/>
      <c r="L2" s="10"/>
      <c r="M2" s="10"/>
    </row>
    <row r="3">
      <c r="A3" s="4" t="s">
        <v>143</v>
      </c>
      <c r="B3" s="4" t="s">
        <v>24</v>
      </c>
      <c r="C3" s="4" t="s">
        <v>144</v>
      </c>
      <c r="D3" s="4" t="s">
        <v>145</v>
      </c>
      <c r="E3" s="4" t="s">
        <v>146</v>
      </c>
      <c r="F3" s="4" t="s">
        <v>147</v>
      </c>
      <c r="G3" s="4" t="s">
        <v>148</v>
      </c>
      <c r="H3" s="10"/>
      <c r="I3" s="10"/>
      <c r="J3" s="10"/>
      <c r="K3" s="10"/>
      <c r="L3" s="10"/>
      <c r="M3" s="10"/>
    </row>
    <row r="4">
      <c r="A4" s="4" t="s">
        <v>152</v>
      </c>
      <c r="B4" s="4" t="s">
        <v>24</v>
      </c>
      <c r="C4" s="4" t="s">
        <v>153</v>
      </c>
      <c r="D4" s="4" t="s">
        <v>154</v>
      </c>
      <c r="E4" s="4" t="s">
        <v>63</v>
      </c>
      <c r="F4" s="4" t="s">
        <v>155</v>
      </c>
      <c r="G4" s="4" t="s">
        <v>156</v>
      </c>
      <c r="H4" s="10"/>
      <c r="I4" s="10"/>
      <c r="J4" s="10"/>
      <c r="K4" s="10"/>
      <c r="L4" s="10"/>
      <c r="M4" s="10"/>
    </row>
    <row r="5">
      <c r="A5" s="4" t="s">
        <v>157</v>
      </c>
      <c r="B5" s="4" t="s">
        <v>35</v>
      </c>
      <c r="C5" s="4" t="s">
        <v>158</v>
      </c>
      <c r="D5" s="4" t="s">
        <v>159</v>
      </c>
      <c r="E5" s="4" t="s">
        <v>129</v>
      </c>
      <c r="F5" s="4" t="s">
        <v>160</v>
      </c>
      <c r="G5" s="4" t="s">
        <v>161</v>
      </c>
      <c r="H5" s="10"/>
      <c r="I5" s="10"/>
      <c r="J5" s="10"/>
      <c r="K5" s="10"/>
      <c r="L5" s="10"/>
      <c r="M5" s="10"/>
    </row>
    <row r="6">
      <c r="A6" s="4" t="s">
        <v>162</v>
      </c>
      <c r="B6" s="4" t="s">
        <v>163</v>
      </c>
      <c r="C6" s="4" t="s">
        <v>164</v>
      </c>
      <c r="D6" s="4" t="s">
        <v>165</v>
      </c>
      <c r="E6" s="4" t="s">
        <v>166</v>
      </c>
      <c r="F6" s="4" t="s">
        <v>167</v>
      </c>
      <c r="G6" s="4" t="s">
        <v>168</v>
      </c>
      <c r="H6" s="10"/>
      <c r="I6" s="10"/>
      <c r="J6" s="10"/>
      <c r="K6" s="10"/>
      <c r="L6" s="10"/>
      <c r="M6" s="10"/>
    </row>
    <row r="7">
      <c r="A7" s="4" t="s">
        <v>169</v>
      </c>
      <c r="B7" s="4" t="s">
        <v>74</v>
      </c>
      <c r="C7" s="4" t="s">
        <v>170</v>
      </c>
      <c r="D7" s="12" t="s">
        <v>171</v>
      </c>
      <c r="E7" s="4" t="s">
        <v>172</v>
      </c>
      <c r="F7" s="4" t="s">
        <v>173</v>
      </c>
      <c r="G7" s="4" t="s">
        <v>174</v>
      </c>
      <c r="I7" s="10"/>
      <c r="J7" s="10"/>
      <c r="K7" s="10"/>
      <c r="L7" s="10"/>
      <c r="M7" s="10"/>
    </row>
  </sheetData>
  <conditionalFormatting sqref="A2:G7">
    <cfRule type="expression" dxfId="0" priority="1" stopIfTrue="1">
      <formula>ISEVEN(ROW())</formula>
    </cfRule>
  </conditionalFormatting>
  <conditionalFormatting sqref="A2:G7">
    <cfRule type="expression" dxfId="1" priority="2" stopIfTrue="1">
      <formula>ISODD(ROW())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16.88"/>
    <col customWidth="1" min="5" max="5" width="19.25"/>
    <col customWidth="1" min="6" max="6" width="17.0"/>
    <col customWidth="1" min="7" max="7" width="19.38"/>
  </cols>
  <sheetData>
    <row r="1">
      <c r="A1" s="13" t="s">
        <v>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</row>
    <row r="2">
      <c r="A2" s="14" t="s">
        <v>175</v>
      </c>
      <c r="B2" s="14" t="s">
        <v>36</v>
      </c>
      <c r="C2" s="14" t="s">
        <v>176</v>
      </c>
      <c r="D2" s="14" t="s">
        <v>177</v>
      </c>
      <c r="E2" s="14" t="s">
        <v>178</v>
      </c>
      <c r="F2" s="14" t="s">
        <v>179</v>
      </c>
      <c r="G2" s="14" t="s">
        <v>180</v>
      </c>
    </row>
    <row r="3">
      <c r="A3" s="15" t="s">
        <v>181</v>
      </c>
      <c r="B3" s="15" t="s">
        <v>36</v>
      </c>
      <c r="C3" s="15" t="s">
        <v>182</v>
      </c>
      <c r="D3" s="15" t="s">
        <v>183</v>
      </c>
      <c r="E3" s="15" t="s">
        <v>184</v>
      </c>
      <c r="F3" s="15" t="s">
        <v>185</v>
      </c>
      <c r="G3" s="15" t="s">
        <v>186</v>
      </c>
    </row>
    <row r="4">
      <c r="A4" s="14" t="s">
        <v>187</v>
      </c>
      <c r="B4" s="14" t="s">
        <v>36</v>
      </c>
      <c r="C4" s="14" t="s">
        <v>188</v>
      </c>
      <c r="D4" s="14" t="s">
        <v>189</v>
      </c>
      <c r="E4" s="14" t="s">
        <v>190</v>
      </c>
      <c r="F4" s="14" t="s">
        <v>191</v>
      </c>
      <c r="G4" s="14" t="s">
        <v>192</v>
      </c>
    </row>
    <row r="5">
      <c r="A5" s="15" t="s">
        <v>193</v>
      </c>
      <c r="B5" s="15" t="s">
        <v>16</v>
      </c>
      <c r="C5" s="15" t="s">
        <v>194</v>
      </c>
      <c r="D5" s="15" t="s">
        <v>195</v>
      </c>
      <c r="E5" s="15" t="s">
        <v>196</v>
      </c>
      <c r="F5" s="15" t="s">
        <v>197</v>
      </c>
      <c r="G5" s="15" t="s">
        <v>198</v>
      </c>
    </row>
    <row r="6">
      <c r="A6" s="14" t="s">
        <v>199</v>
      </c>
      <c r="B6" s="14" t="s">
        <v>200</v>
      </c>
      <c r="C6" s="14" t="s">
        <v>201</v>
      </c>
      <c r="D6" s="14" t="s">
        <v>202</v>
      </c>
      <c r="E6" s="14" t="s">
        <v>203</v>
      </c>
      <c r="F6" s="14" t="s">
        <v>204</v>
      </c>
      <c r="G6" s="14" t="s">
        <v>205</v>
      </c>
    </row>
    <row r="7">
      <c r="A7" s="15" t="s">
        <v>206</v>
      </c>
      <c r="B7" s="15" t="s">
        <v>36</v>
      </c>
      <c r="C7" s="15" t="s">
        <v>207</v>
      </c>
      <c r="D7" s="15" t="s">
        <v>208</v>
      </c>
      <c r="E7" s="15" t="s">
        <v>209</v>
      </c>
      <c r="F7" s="15" t="s">
        <v>210</v>
      </c>
      <c r="G7" s="15" t="s">
        <v>211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8.0"/>
    <col customWidth="1" min="3" max="3" width="14.63"/>
    <col customWidth="1" min="6" max="6" width="22.5"/>
    <col customWidth="1" min="7" max="7" width="22.13"/>
  </cols>
  <sheetData>
    <row r="1">
      <c r="A1" s="13" t="s">
        <v>1</v>
      </c>
      <c r="B1" s="13" t="s">
        <v>9</v>
      </c>
      <c r="C1" s="13" t="s">
        <v>10</v>
      </c>
      <c r="D1" s="13" t="s">
        <v>12</v>
      </c>
      <c r="E1" s="13" t="s">
        <v>13</v>
      </c>
      <c r="F1" s="13" t="s">
        <v>14</v>
      </c>
      <c r="G1" s="13" t="s">
        <v>15</v>
      </c>
    </row>
    <row r="2">
      <c r="A2" s="14" t="s">
        <v>212</v>
      </c>
      <c r="B2" s="14" t="s">
        <v>213</v>
      </c>
      <c r="C2" s="14" t="s">
        <v>214</v>
      </c>
      <c r="D2" s="14" t="s">
        <v>215</v>
      </c>
      <c r="E2" s="14" t="s">
        <v>216</v>
      </c>
      <c r="F2" s="14" t="s">
        <v>217</v>
      </c>
      <c r="G2" s="14" t="s">
        <v>218</v>
      </c>
    </row>
    <row r="3">
      <c r="A3" s="15" t="s">
        <v>219</v>
      </c>
      <c r="B3" s="15" t="s">
        <v>220</v>
      </c>
      <c r="C3" s="15" t="s">
        <v>221</v>
      </c>
      <c r="D3" s="15" t="s">
        <v>222</v>
      </c>
      <c r="E3" s="15" t="s">
        <v>223</v>
      </c>
      <c r="F3" s="15" t="s">
        <v>224</v>
      </c>
      <c r="G3" s="15" t="s">
        <v>225</v>
      </c>
    </row>
    <row r="4">
      <c r="A4" s="14" t="s">
        <v>226</v>
      </c>
      <c r="B4" s="14" t="s">
        <v>227</v>
      </c>
      <c r="C4" s="14" t="s">
        <v>228</v>
      </c>
      <c r="D4" s="14" t="s">
        <v>229</v>
      </c>
      <c r="E4" s="14" t="s">
        <v>230</v>
      </c>
      <c r="F4" s="14" t="s">
        <v>232</v>
      </c>
      <c r="G4" s="14" t="s">
        <v>233</v>
      </c>
    </row>
    <row r="5">
      <c r="A5" s="15" t="s">
        <v>234</v>
      </c>
      <c r="B5" s="15" t="s">
        <v>235</v>
      </c>
      <c r="C5" s="15" t="s">
        <v>237</v>
      </c>
      <c r="D5" s="15" t="s">
        <v>238</v>
      </c>
      <c r="E5" s="15" t="s">
        <v>129</v>
      </c>
      <c r="F5" s="15" t="s">
        <v>241</v>
      </c>
      <c r="G5" s="15" t="s">
        <v>243</v>
      </c>
    </row>
    <row r="6">
      <c r="A6" s="14" t="s">
        <v>245</v>
      </c>
      <c r="B6" s="14" t="s">
        <v>246</v>
      </c>
      <c r="C6" s="14" t="s">
        <v>247</v>
      </c>
      <c r="D6" s="14" t="s">
        <v>248</v>
      </c>
      <c r="E6" s="14" t="s">
        <v>249</v>
      </c>
      <c r="F6" s="14" t="s">
        <v>250</v>
      </c>
      <c r="G6" s="14" t="s">
        <v>251</v>
      </c>
    </row>
    <row r="7">
      <c r="A7" s="15"/>
      <c r="B7" s="15"/>
      <c r="C7" s="15"/>
      <c r="D7" s="15"/>
      <c r="E7" s="15"/>
      <c r="F7" s="15"/>
      <c r="G7" s="1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0"/>
    <col customWidth="1" min="4" max="4" width="25.5"/>
    <col customWidth="1" min="5" max="5" width="23.25"/>
    <col customWidth="1" min="6" max="6" width="25.63"/>
    <col customWidth="1" min="7" max="7" width="25.75"/>
  </cols>
  <sheetData>
    <row r="1">
      <c r="A1" s="13" t="s">
        <v>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0"/>
      <c r="I1" s="10"/>
      <c r="J1" s="10"/>
      <c r="K1" s="10"/>
    </row>
    <row r="2">
      <c r="A2" s="14" t="s">
        <v>231</v>
      </c>
      <c r="B2" s="14" t="s">
        <v>36</v>
      </c>
      <c r="C2" s="14" t="s">
        <v>236</v>
      </c>
      <c r="D2" s="14" t="s">
        <v>239</v>
      </c>
      <c r="E2" s="14" t="s">
        <v>240</v>
      </c>
      <c r="F2" s="14" t="s">
        <v>242</v>
      </c>
      <c r="G2" s="14" t="s">
        <v>244</v>
      </c>
      <c r="H2" s="10"/>
      <c r="I2" s="10"/>
      <c r="J2" s="10"/>
      <c r="K2" s="10"/>
    </row>
    <row r="3">
      <c r="A3" s="15" t="s">
        <v>252</v>
      </c>
      <c r="B3" s="15" t="s">
        <v>16</v>
      </c>
      <c r="C3" s="15" t="s">
        <v>253</v>
      </c>
      <c r="D3" s="15" t="s">
        <v>254</v>
      </c>
      <c r="E3" s="15" t="s">
        <v>255</v>
      </c>
      <c r="F3" s="15" t="s">
        <v>256</v>
      </c>
      <c r="G3" s="15" t="s">
        <v>257</v>
      </c>
      <c r="H3" s="10"/>
      <c r="I3" s="10"/>
      <c r="J3" s="10"/>
      <c r="K3" s="10"/>
    </row>
    <row r="4">
      <c r="A4" s="14" t="s">
        <v>258</v>
      </c>
      <c r="B4" s="14" t="s">
        <v>200</v>
      </c>
      <c r="C4" s="14" t="s">
        <v>259</v>
      </c>
      <c r="D4" s="14" t="s">
        <v>260</v>
      </c>
      <c r="E4" s="14" t="s">
        <v>261</v>
      </c>
      <c r="F4" s="14" t="s">
        <v>262</v>
      </c>
      <c r="G4" s="14" t="s">
        <v>263</v>
      </c>
      <c r="H4" s="10"/>
      <c r="I4" s="10"/>
      <c r="J4" s="10"/>
      <c r="K4" s="10"/>
    </row>
    <row r="5">
      <c r="A5" s="15" t="s">
        <v>264</v>
      </c>
      <c r="B5" s="15" t="s">
        <v>138</v>
      </c>
      <c r="C5" s="15" t="s">
        <v>265</v>
      </c>
      <c r="D5" s="15" t="s">
        <v>266</v>
      </c>
      <c r="E5" s="15" t="s">
        <v>267</v>
      </c>
      <c r="F5" s="15" t="s">
        <v>268</v>
      </c>
      <c r="G5" s="15" t="s">
        <v>269</v>
      </c>
      <c r="H5" s="10"/>
      <c r="I5" s="10"/>
      <c r="J5" s="10"/>
      <c r="K5" s="10"/>
    </row>
    <row r="6">
      <c r="A6" s="14" t="s">
        <v>270</v>
      </c>
      <c r="B6" s="14" t="s">
        <v>271</v>
      </c>
      <c r="C6" s="14" t="s">
        <v>272</v>
      </c>
      <c r="D6" s="14" t="s">
        <v>273</v>
      </c>
      <c r="E6" s="14" t="s">
        <v>274</v>
      </c>
      <c r="F6" s="14" t="s">
        <v>275</v>
      </c>
      <c r="G6" s="14" t="s">
        <v>276</v>
      </c>
      <c r="H6" s="10"/>
      <c r="I6" s="10"/>
      <c r="J6" s="10"/>
      <c r="K6" s="10"/>
    </row>
    <row r="7">
      <c r="A7" s="15"/>
      <c r="B7" s="15"/>
      <c r="C7" s="15"/>
      <c r="D7" s="15"/>
      <c r="E7" s="15"/>
      <c r="F7" s="15"/>
      <c r="G7" s="1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13"/>
    <col customWidth="1" min="4" max="4" width="14.25"/>
    <col customWidth="1" min="5" max="5" width="8.63"/>
    <col customWidth="1" min="6" max="6" width="21.38"/>
    <col customWidth="1" min="7" max="7" width="20.38"/>
  </cols>
  <sheetData>
    <row r="1">
      <c r="A1" s="16" t="s">
        <v>1</v>
      </c>
      <c r="B1" s="16" t="s">
        <v>9</v>
      </c>
      <c r="C1" s="16" t="s">
        <v>10</v>
      </c>
      <c r="D1" s="16" t="s">
        <v>12</v>
      </c>
      <c r="E1" s="16" t="s">
        <v>13</v>
      </c>
      <c r="F1" s="16" t="s">
        <v>14</v>
      </c>
      <c r="G1" s="16" t="s">
        <v>15</v>
      </c>
      <c r="H1" s="10"/>
      <c r="I1" s="10"/>
      <c r="J1" s="10"/>
      <c r="K1" s="10"/>
      <c r="L1" s="10"/>
    </row>
    <row r="2">
      <c r="A2" s="17" t="s">
        <v>277</v>
      </c>
      <c r="B2" s="17" t="s">
        <v>231</v>
      </c>
      <c r="C2" s="17" t="s">
        <v>278</v>
      </c>
      <c r="D2" s="17" t="s">
        <v>279</v>
      </c>
      <c r="E2" s="17" t="s">
        <v>280</v>
      </c>
      <c r="F2" s="17" t="s">
        <v>281</v>
      </c>
      <c r="G2" s="17" t="s">
        <v>282</v>
      </c>
      <c r="H2" s="10"/>
      <c r="I2" s="10"/>
      <c r="J2" s="10"/>
      <c r="K2" s="10"/>
      <c r="L2" s="10"/>
    </row>
    <row r="3">
      <c r="A3" s="18" t="s">
        <v>283</v>
      </c>
      <c r="B3" s="18" t="s">
        <v>252</v>
      </c>
      <c r="C3" s="18" t="s">
        <v>284</v>
      </c>
      <c r="D3" s="18" t="s">
        <v>285</v>
      </c>
      <c r="E3" s="18" t="s">
        <v>286</v>
      </c>
      <c r="F3" s="18" t="s">
        <v>287</v>
      </c>
      <c r="G3" s="18" t="s">
        <v>288</v>
      </c>
      <c r="H3" s="10"/>
      <c r="I3" s="10"/>
      <c r="J3" s="10"/>
      <c r="K3" s="10"/>
      <c r="L3" s="10"/>
    </row>
    <row r="4">
      <c r="A4" s="17" t="s">
        <v>289</v>
      </c>
      <c r="B4" s="17" t="s">
        <v>258</v>
      </c>
      <c r="C4" s="17" t="s">
        <v>290</v>
      </c>
      <c r="D4" s="17" t="s">
        <v>291</v>
      </c>
      <c r="E4" s="17" t="s">
        <v>292</v>
      </c>
      <c r="F4" s="17" t="s">
        <v>293</v>
      </c>
      <c r="G4" s="17" t="s">
        <v>294</v>
      </c>
      <c r="H4" s="10"/>
      <c r="I4" s="10"/>
      <c r="J4" s="10"/>
      <c r="K4" s="10"/>
      <c r="L4" s="10"/>
    </row>
    <row r="5">
      <c r="A5" s="18" t="s">
        <v>295</v>
      </c>
      <c r="B5" s="18" t="s">
        <v>258</v>
      </c>
      <c r="C5" s="18" t="s">
        <v>296</v>
      </c>
      <c r="D5" s="18" t="s">
        <v>297</v>
      </c>
      <c r="E5" s="18" t="s">
        <v>28</v>
      </c>
      <c r="F5" s="18" t="s">
        <v>298</v>
      </c>
      <c r="G5" s="18" t="s">
        <v>299</v>
      </c>
      <c r="H5" s="10"/>
      <c r="I5" s="10"/>
      <c r="J5" s="10"/>
      <c r="K5" s="10"/>
      <c r="L5" s="10"/>
    </row>
    <row r="6">
      <c r="A6" s="17" t="s">
        <v>300</v>
      </c>
      <c r="B6" s="17" t="s">
        <v>301</v>
      </c>
      <c r="C6" s="17" t="s">
        <v>302</v>
      </c>
      <c r="D6" s="17" t="s">
        <v>303</v>
      </c>
      <c r="E6" s="17" t="s">
        <v>129</v>
      </c>
      <c r="F6" s="17" t="s">
        <v>304</v>
      </c>
      <c r="G6" s="17" t="s">
        <v>305</v>
      </c>
      <c r="H6" s="10"/>
      <c r="I6" s="10"/>
      <c r="J6" s="10"/>
      <c r="K6" s="10"/>
      <c r="L6" s="10"/>
    </row>
    <row r="7">
      <c r="A7" s="17" t="s">
        <v>306</v>
      </c>
      <c r="B7" s="17" t="s">
        <v>264</v>
      </c>
      <c r="C7" s="17" t="s">
        <v>307</v>
      </c>
      <c r="D7" s="17" t="s">
        <v>308</v>
      </c>
      <c r="E7" s="17" t="s">
        <v>309</v>
      </c>
      <c r="F7" s="17" t="s">
        <v>310</v>
      </c>
      <c r="G7" s="17" t="s">
        <v>311</v>
      </c>
      <c r="H7" s="10"/>
      <c r="I7" s="10"/>
      <c r="J7" s="10"/>
      <c r="K7" s="10"/>
      <c r="L7" s="10"/>
    </row>
    <row r="8">
      <c r="A8" s="17" t="s">
        <v>312</v>
      </c>
      <c r="B8" s="17" t="s">
        <v>252</v>
      </c>
      <c r="C8" s="17" t="s">
        <v>313</v>
      </c>
      <c r="D8" s="17" t="s">
        <v>314</v>
      </c>
      <c r="E8" s="17" t="s">
        <v>84</v>
      </c>
      <c r="F8" s="17" t="s">
        <v>315</v>
      </c>
      <c r="G8" s="17" t="s">
        <v>316</v>
      </c>
    </row>
    <row r="9">
      <c r="A9" s="17"/>
      <c r="B9" s="17"/>
      <c r="C9" s="17"/>
      <c r="D9" s="17"/>
      <c r="E9" s="17"/>
      <c r="F9" s="17"/>
      <c r="G9" s="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29.5"/>
    <col customWidth="1" min="5" max="5" width="23.88"/>
    <col customWidth="1" min="6" max="6" width="20.38"/>
    <col customWidth="1" min="7" max="7" width="22.13"/>
  </cols>
  <sheetData>
    <row r="1">
      <c r="A1" s="13" t="s">
        <v>0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0"/>
      <c r="I1" s="10"/>
      <c r="J1" s="10"/>
      <c r="K1" s="10"/>
    </row>
    <row r="2">
      <c r="A2" s="14" t="s">
        <v>331</v>
      </c>
      <c r="B2" s="14" t="s">
        <v>36</v>
      </c>
      <c r="C2" s="14" t="s">
        <v>348</v>
      </c>
      <c r="D2" s="14" t="s">
        <v>349</v>
      </c>
      <c r="E2" s="14" t="s">
        <v>350</v>
      </c>
      <c r="F2" s="14" t="s">
        <v>351</v>
      </c>
      <c r="G2" s="14" t="s">
        <v>352</v>
      </c>
      <c r="H2" s="10"/>
      <c r="I2" s="10"/>
      <c r="J2" s="10"/>
      <c r="K2" s="10"/>
    </row>
    <row r="3">
      <c r="A3" s="15" t="s">
        <v>353</v>
      </c>
      <c r="B3" s="15" t="s">
        <v>16</v>
      </c>
      <c r="C3" s="15" t="s">
        <v>354</v>
      </c>
      <c r="D3" s="15" t="s">
        <v>355</v>
      </c>
      <c r="E3" s="15" t="s">
        <v>356</v>
      </c>
      <c r="F3" s="15" t="s">
        <v>357</v>
      </c>
      <c r="G3" s="15" t="s">
        <v>358</v>
      </c>
      <c r="H3" s="10"/>
      <c r="I3" s="10"/>
      <c r="J3" s="10"/>
      <c r="K3" s="10"/>
    </row>
    <row r="4">
      <c r="A4" s="14" t="s">
        <v>318</v>
      </c>
      <c r="B4" s="14" t="s">
        <v>200</v>
      </c>
      <c r="C4" s="14" t="s">
        <v>359</v>
      </c>
      <c r="D4" s="14" t="s">
        <v>360</v>
      </c>
      <c r="E4" s="14" t="s">
        <v>361</v>
      </c>
      <c r="F4" s="14" t="s">
        <v>362</v>
      </c>
      <c r="G4" s="14" t="s">
        <v>363</v>
      </c>
      <c r="H4" s="10"/>
      <c r="I4" s="10"/>
      <c r="J4" s="10"/>
      <c r="K4" s="10"/>
    </row>
    <row r="5">
      <c r="A5" s="15" t="s">
        <v>364</v>
      </c>
      <c r="B5" s="15" t="s">
        <v>271</v>
      </c>
      <c r="C5" s="15" t="s">
        <v>366</v>
      </c>
      <c r="D5" s="15" t="s">
        <v>368</v>
      </c>
      <c r="E5" s="15" t="s">
        <v>370</v>
      </c>
      <c r="F5" s="15" t="s">
        <v>372</v>
      </c>
      <c r="G5" s="15" t="s">
        <v>374</v>
      </c>
      <c r="H5" s="10"/>
      <c r="I5" s="10"/>
      <c r="J5" s="10"/>
      <c r="K5" s="10"/>
    </row>
    <row r="6">
      <c r="A6" s="14" t="s">
        <v>375</v>
      </c>
      <c r="B6" s="14" t="s">
        <v>27</v>
      </c>
      <c r="C6" s="14" t="s">
        <v>376</v>
      </c>
      <c r="D6" s="14" t="s">
        <v>377</v>
      </c>
      <c r="E6" s="14" t="s">
        <v>379</v>
      </c>
      <c r="F6" s="14" t="s">
        <v>380</v>
      </c>
      <c r="G6" s="14" t="s">
        <v>382</v>
      </c>
      <c r="H6" s="10"/>
      <c r="I6" s="10"/>
      <c r="J6" s="10"/>
      <c r="K6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4" max="4" width="14.63"/>
    <col customWidth="1" min="5" max="5" width="11.13"/>
    <col customWidth="1" min="6" max="6" width="22.63"/>
    <col customWidth="1" min="7" max="7" width="23.88"/>
  </cols>
  <sheetData>
    <row r="1">
      <c r="A1" s="13" t="s">
        <v>1</v>
      </c>
      <c r="B1" s="13" t="s">
        <v>9</v>
      </c>
      <c r="C1" s="13" t="s">
        <v>10</v>
      </c>
      <c r="D1" s="13" t="s">
        <v>12</v>
      </c>
      <c r="E1" s="13" t="s">
        <v>13</v>
      </c>
      <c r="F1" s="13" t="s">
        <v>14</v>
      </c>
      <c r="G1" s="13" t="s">
        <v>15</v>
      </c>
    </row>
    <row r="2">
      <c r="A2" s="14" t="s">
        <v>317</v>
      </c>
      <c r="B2" s="14" t="s">
        <v>318</v>
      </c>
      <c r="C2" s="14" t="s">
        <v>319</v>
      </c>
      <c r="D2" s="14" t="s">
        <v>320</v>
      </c>
      <c r="E2" s="14" t="s">
        <v>321</v>
      </c>
      <c r="F2" s="14" t="s">
        <v>322</v>
      </c>
      <c r="G2" s="14" t="s">
        <v>323</v>
      </c>
    </row>
    <row r="3">
      <c r="A3" s="15" t="s">
        <v>324</v>
      </c>
      <c r="B3" s="15" t="s">
        <v>325</v>
      </c>
      <c r="C3" s="15" t="s">
        <v>326</v>
      </c>
      <c r="D3" s="15" t="s">
        <v>327</v>
      </c>
      <c r="E3" s="15" t="s">
        <v>28</v>
      </c>
      <c r="F3" s="15" t="s">
        <v>328</v>
      </c>
      <c r="G3" s="15" t="s">
        <v>329</v>
      </c>
    </row>
    <row r="4">
      <c r="A4" s="14" t="s">
        <v>330</v>
      </c>
      <c r="B4" s="14" t="s">
        <v>331</v>
      </c>
      <c r="C4" s="14" t="s">
        <v>332</v>
      </c>
      <c r="D4" s="14" t="s">
        <v>333</v>
      </c>
      <c r="E4" s="14" t="s">
        <v>334</v>
      </c>
      <c r="F4" s="14" t="s">
        <v>335</v>
      </c>
      <c r="G4" s="14" t="s">
        <v>336</v>
      </c>
    </row>
    <row r="5">
      <c r="A5" s="15" t="s">
        <v>337</v>
      </c>
      <c r="B5" s="15" t="s">
        <v>338</v>
      </c>
      <c r="C5" s="15" t="s">
        <v>339</v>
      </c>
      <c r="D5" s="15" t="s">
        <v>165</v>
      </c>
      <c r="E5" s="15" t="s">
        <v>166</v>
      </c>
      <c r="F5" s="15" t="s">
        <v>340</v>
      </c>
      <c r="G5" s="15" t="s">
        <v>341</v>
      </c>
    </row>
    <row r="6">
      <c r="A6" s="14" t="s">
        <v>342</v>
      </c>
      <c r="B6" s="14" t="s">
        <v>331</v>
      </c>
      <c r="C6" s="14" t="s">
        <v>343</v>
      </c>
      <c r="D6" s="14" t="s">
        <v>344</v>
      </c>
      <c r="E6" s="14" t="s">
        <v>345</v>
      </c>
      <c r="F6" s="14" t="s">
        <v>346</v>
      </c>
      <c r="G6" s="14" t="s">
        <v>347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16.88"/>
    <col customWidth="1" min="4" max="4" width="17.13"/>
    <col customWidth="1" min="5" max="5" width="20.0"/>
    <col customWidth="1" min="6" max="6" width="24.25"/>
  </cols>
  <sheetData>
    <row r="1">
      <c r="A1" s="13" t="s">
        <v>365</v>
      </c>
      <c r="B1" s="13" t="s">
        <v>367</v>
      </c>
      <c r="C1" s="13" t="s">
        <v>369</v>
      </c>
      <c r="D1" s="13" t="s">
        <v>371</v>
      </c>
      <c r="E1" s="13" t="s">
        <v>373</v>
      </c>
      <c r="F1" s="13" t="s">
        <v>5</v>
      </c>
      <c r="G1" s="19"/>
    </row>
    <row r="2">
      <c r="A2" s="20" t="s">
        <v>378</v>
      </c>
      <c r="B2" s="20" t="s">
        <v>381</v>
      </c>
      <c r="C2" s="20" t="s">
        <v>383</v>
      </c>
      <c r="D2" s="20" t="s">
        <v>384</v>
      </c>
      <c r="E2" s="20" t="s">
        <v>385</v>
      </c>
      <c r="F2" s="20" t="s">
        <v>386</v>
      </c>
      <c r="G2" s="21"/>
    </row>
    <row r="3">
      <c r="A3" s="20" t="s">
        <v>378</v>
      </c>
      <c r="B3" s="20" t="s">
        <v>387</v>
      </c>
      <c r="C3" s="20" t="s">
        <v>383</v>
      </c>
      <c r="D3" s="20" t="s">
        <v>388</v>
      </c>
      <c r="E3" s="20" t="s">
        <v>389</v>
      </c>
      <c r="F3" s="20" t="s">
        <v>390</v>
      </c>
      <c r="G3" s="21"/>
    </row>
    <row r="4">
      <c r="A4" s="22" t="s">
        <v>391</v>
      </c>
      <c r="B4" s="22" t="s">
        <v>392</v>
      </c>
      <c r="C4" s="22" t="s">
        <v>393</v>
      </c>
      <c r="D4" s="23" t="s">
        <v>394</v>
      </c>
      <c r="E4" s="22" t="s">
        <v>395</v>
      </c>
      <c r="F4" s="23" t="s">
        <v>396</v>
      </c>
      <c r="G4" s="21"/>
    </row>
    <row r="5">
      <c r="A5" s="22" t="s">
        <v>391</v>
      </c>
      <c r="B5" s="22" t="s">
        <v>397</v>
      </c>
      <c r="C5" s="22" t="s">
        <v>393</v>
      </c>
      <c r="D5" s="23" t="s">
        <v>398</v>
      </c>
      <c r="E5" s="22" t="s">
        <v>399</v>
      </c>
      <c r="F5" s="22" t="s">
        <v>400</v>
      </c>
      <c r="G5" s="21"/>
    </row>
    <row r="6">
      <c r="A6" s="22" t="s">
        <v>391</v>
      </c>
      <c r="B6" s="22" t="s">
        <v>401</v>
      </c>
      <c r="C6" s="22" t="s">
        <v>383</v>
      </c>
      <c r="D6" s="22" t="s">
        <v>402</v>
      </c>
      <c r="E6" s="22" t="s">
        <v>403</v>
      </c>
      <c r="F6" s="22" t="s">
        <v>404</v>
      </c>
      <c r="G6" s="21"/>
    </row>
    <row r="7">
      <c r="A7" s="24" t="s">
        <v>405</v>
      </c>
      <c r="B7" s="24" t="s">
        <v>406</v>
      </c>
      <c r="C7" s="24" t="s">
        <v>383</v>
      </c>
      <c r="D7" s="24" t="s">
        <v>407</v>
      </c>
      <c r="E7" s="24" t="s">
        <v>408</v>
      </c>
      <c r="F7" s="25" t="s">
        <v>409</v>
      </c>
      <c r="G7" s="21"/>
    </row>
    <row r="8">
      <c r="A8" s="26" t="s">
        <v>410</v>
      </c>
      <c r="B8" s="26" t="s">
        <v>236</v>
      </c>
      <c r="C8" s="26" t="s">
        <v>383</v>
      </c>
      <c r="D8" s="27" t="s">
        <v>411</v>
      </c>
      <c r="E8" s="26" t="s">
        <v>412</v>
      </c>
      <c r="F8" s="27" t="s">
        <v>413</v>
      </c>
      <c r="G8" s="21"/>
    </row>
    <row r="9">
      <c r="A9" s="28" t="s">
        <v>414</v>
      </c>
      <c r="B9" s="28" t="s">
        <v>415</v>
      </c>
      <c r="C9" s="28" t="s">
        <v>383</v>
      </c>
      <c r="D9" s="29" t="s">
        <v>416</v>
      </c>
      <c r="E9" s="28" t="s">
        <v>417</v>
      </c>
      <c r="F9" s="28" t="s">
        <v>418</v>
      </c>
      <c r="G9" s="30"/>
    </row>
    <row r="10">
      <c r="A10" s="31"/>
      <c r="B10" s="31"/>
      <c r="C10" s="31"/>
      <c r="D10" s="31"/>
      <c r="E10" s="31"/>
      <c r="F10" s="31"/>
      <c r="G10" s="31"/>
    </row>
    <row r="11">
      <c r="A11" s="32"/>
      <c r="B11" s="32"/>
      <c r="C11" s="32"/>
      <c r="D11" s="32"/>
      <c r="E11" s="32"/>
      <c r="F11" s="32"/>
      <c r="G11" s="32"/>
    </row>
    <row r="12">
      <c r="A12" s="31"/>
      <c r="B12" s="31"/>
      <c r="C12" s="31"/>
      <c r="D12" s="31"/>
      <c r="E12" s="31"/>
      <c r="F12" s="31"/>
      <c r="G12" s="3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7" max="7" width="19.38"/>
    <col customWidth="1" min="8" max="8" width="14.75"/>
    <col customWidth="1" min="9" max="9" width="27.13"/>
  </cols>
  <sheetData>
    <row r="1">
      <c r="A1" s="13" t="s">
        <v>365</v>
      </c>
      <c r="B1" s="13" t="s">
        <v>419</v>
      </c>
      <c r="C1" s="13" t="s">
        <v>420</v>
      </c>
      <c r="D1" s="13" t="s">
        <v>421</v>
      </c>
      <c r="E1" s="13" t="s">
        <v>367</v>
      </c>
      <c r="F1" s="13" t="s">
        <v>422</v>
      </c>
      <c r="G1" s="13" t="s">
        <v>423</v>
      </c>
      <c r="H1" s="13" t="s">
        <v>424</v>
      </c>
      <c r="I1" s="13" t="s">
        <v>425</v>
      </c>
    </row>
    <row r="2">
      <c r="A2" s="14" t="s">
        <v>410</v>
      </c>
      <c r="B2" s="14" t="s">
        <v>426</v>
      </c>
      <c r="C2" s="14" t="s">
        <v>378</v>
      </c>
      <c r="D2" s="14" t="s">
        <v>427</v>
      </c>
      <c r="E2" s="14" t="s">
        <v>428</v>
      </c>
      <c r="F2" s="14" t="s">
        <v>429</v>
      </c>
      <c r="G2" s="14" t="s">
        <v>430</v>
      </c>
      <c r="H2" s="14" t="s">
        <v>431</v>
      </c>
      <c r="I2" s="14" t="s">
        <v>432</v>
      </c>
    </row>
    <row r="3">
      <c r="A3" s="15" t="s">
        <v>405</v>
      </c>
      <c r="B3" s="15" t="s">
        <v>433</v>
      </c>
      <c r="C3" s="15" t="s">
        <v>378</v>
      </c>
      <c r="D3" s="15" t="s">
        <v>434</v>
      </c>
      <c r="E3" s="15" t="s">
        <v>435</v>
      </c>
      <c r="F3" s="15" t="s">
        <v>436</v>
      </c>
      <c r="G3" s="15" t="s">
        <v>437</v>
      </c>
      <c r="H3" s="15" t="s">
        <v>438</v>
      </c>
      <c r="I3" s="15" t="s">
        <v>439</v>
      </c>
    </row>
    <row r="4">
      <c r="A4" s="14" t="s">
        <v>405</v>
      </c>
      <c r="B4" s="14" t="s">
        <v>440</v>
      </c>
      <c r="C4" s="14" t="s">
        <v>378</v>
      </c>
      <c r="D4" s="14" t="s">
        <v>441</v>
      </c>
      <c r="E4" s="14" t="s">
        <v>442</v>
      </c>
      <c r="F4" s="14" t="s">
        <v>443</v>
      </c>
      <c r="G4" s="14" t="s">
        <v>444</v>
      </c>
      <c r="H4" s="14" t="s">
        <v>445</v>
      </c>
      <c r="I4" s="14" t="s">
        <v>446</v>
      </c>
    </row>
    <row r="5">
      <c r="A5" s="14" t="s">
        <v>405</v>
      </c>
      <c r="B5" s="14" t="s">
        <v>447</v>
      </c>
      <c r="C5" s="14" t="s">
        <v>448</v>
      </c>
      <c r="D5" s="14" t="s">
        <v>449</v>
      </c>
      <c r="E5" s="14" t="s">
        <v>450</v>
      </c>
      <c r="F5" s="14" t="s">
        <v>451</v>
      </c>
      <c r="G5" s="14" t="s">
        <v>452</v>
      </c>
      <c r="H5" s="14" t="s">
        <v>453</v>
      </c>
      <c r="I5" s="14" t="s">
        <v>454</v>
      </c>
    </row>
    <row r="6">
      <c r="A6" s="15" t="s">
        <v>414</v>
      </c>
      <c r="B6" s="15" t="s">
        <v>455</v>
      </c>
      <c r="C6" s="15" t="s">
        <v>378</v>
      </c>
      <c r="D6" s="15" t="s">
        <v>456</v>
      </c>
      <c r="E6" s="15" t="s">
        <v>457</v>
      </c>
      <c r="F6" s="15" t="s">
        <v>458</v>
      </c>
      <c r="G6" s="15" t="s">
        <v>459</v>
      </c>
      <c r="H6" s="15" t="s">
        <v>460</v>
      </c>
      <c r="I6" s="15" t="s">
        <v>461</v>
      </c>
    </row>
    <row r="7">
      <c r="A7" s="14" t="s">
        <v>414</v>
      </c>
      <c r="B7" s="14" t="s">
        <v>462</v>
      </c>
      <c r="C7" s="14" t="s">
        <v>463</v>
      </c>
      <c r="D7" s="14" t="s">
        <v>464</v>
      </c>
      <c r="E7" s="14" t="s">
        <v>465</v>
      </c>
      <c r="F7" s="14" t="s">
        <v>466</v>
      </c>
      <c r="G7" s="14" t="s">
        <v>467</v>
      </c>
      <c r="H7" s="14" t="s">
        <v>21</v>
      </c>
      <c r="I7" s="14" t="s">
        <v>469</v>
      </c>
    </row>
    <row r="8">
      <c r="A8" s="14" t="s">
        <v>414</v>
      </c>
      <c r="B8" s="14" t="s">
        <v>471</v>
      </c>
      <c r="C8" s="14" t="s">
        <v>473</v>
      </c>
      <c r="D8" s="14" t="s">
        <v>474</v>
      </c>
      <c r="E8" s="14" t="s">
        <v>476</v>
      </c>
      <c r="F8" s="14" t="s">
        <v>478</v>
      </c>
      <c r="G8" s="14" t="s">
        <v>480</v>
      </c>
      <c r="H8" s="14" t="s">
        <v>482</v>
      </c>
      <c r="I8" s="14" t="s">
        <v>483</v>
      </c>
    </row>
    <row r="9">
      <c r="A9" s="14" t="s">
        <v>378</v>
      </c>
      <c r="B9" s="14" t="s">
        <v>485</v>
      </c>
      <c r="C9" s="14" t="s">
        <v>486</v>
      </c>
      <c r="D9" s="14" t="s">
        <v>487</v>
      </c>
      <c r="E9" s="14" t="s">
        <v>488</v>
      </c>
      <c r="F9" s="14" t="s">
        <v>489</v>
      </c>
      <c r="G9" s="14" t="s">
        <v>459</v>
      </c>
      <c r="H9" s="14" t="s">
        <v>491</v>
      </c>
      <c r="I9" s="14" t="s">
        <v>492</v>
      </c>
    </row>
    <row r="10">
      <c r="A10" s="14" t="s">
        <v>391</v>
      </c>
      <c r="B10" s="14" t="s">
        <v>494</v>
      </c>
      <c r="C10" s="14" t="s">
        <v>496</v>
      </c>
      <c r="D10" s="14" t="s">
        <v>499</v>
      </c>
      <c r="E10" s="14" t="s">
        <v>501</v>
      </c>
      <c r="F10" s="14" t="s">
        <v>504</v>
      </c>
      <c r="G10" s="14" t="s">
        <v>506</v>
      </c>
      <c r="H10" s="14" t="s">
        <v>508</v>
      </c>
      <c r="I10" s="14" t="s">
        <v>510</v>
      </c>
    </row>
    <row r="11">
      <c r="A11" s="14" t="s">
        <v>391</v>
      </c>
      <c r="B11" s="14" t="s">
        <v>511</v>
      </c>
      <c r="C11" s="14" t="s">
        <v>378</v>
      </c>
      <c r="D11" s="14" t="s">
        <v>513</v>
      </c>
      <c r="E11" s="14" t="s">
        <v>515</v>
      </c>
      <c r="F11" s="14" t="s">
        <v>517</v>
      </c>
      <c r="G11" s="14" t="s">
        <v>459</v>
      </c>
      <c r="H11" s="14" t="s">
        <v>520</v>
      </c>
      <c r="I11" s="14" t="s">
        <v>522</v>
      </c>
    </row>
    <row r="12">
      <c r="A12" s="14" t="s">
        <v>391</v>
      </c>
      <c r="B12" s="14" t="s">
        <v>525</v>
      </c>
      <c r="C12" s="14" t="s">
        <v>526</v>
      </c>
      <c r="D12" s="14" t="s">
        <v>527</v>
      </c>
      <c r="E12" s="14" t="s">
        <v>529</v>
      </c>
      <c r="F12" s="14" t="s">
        <v>532</v>
      </c>
      <c r="G12" s="14" t="s">
        <v>535</v>
      </c>
      <c r="H12" s="14" t="s">
        <v>21</v>
      </c>
      <c r="I12" s="14" t="s">
        <v>538</v>
      </c>
    </row>
    <row r="13">
      <c r="A13" s="14" t="s">
        <v>391</v>
      </c>
      <c r="B13" s="14" t="s">
        <v>541</v>
      </c>
      <c r="C13" s="14" t="s">
        <v>543</v>
      </c>
      <c r="D13" s="14" t="s">
        <v>546</v>
      </c>
      <c r="E13" s="14" t="s">
        <v>549</v>
      </c>
      <c r="F13" s="14" t="s">
        <v>552</v>
      </c>
      <c r="G13" s="14" t="s">
        <v>554</v>
      </c>
      <c r="H13" s="14" t="s">
        <v>21</v>
      </c>
      <c r="I13" s="14" t="s">
        <v>558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5"/>
    <col customWidth="1" min="8" max="8" width="20.75"/>
  </cols>
  <sheetData>
    <row r="1">
      <c r="A1" s="16" t="s">
        <v>365</v>
      </c>
      <c r="B1" s="16" t="s">
        <v>468</v>
      </c>
      <c r="C1" s="16" t="s">
        <v>470</v>
      </c>
      <c r="D1" s="16" t="s">
        <v>472</v>
      </c>
      <c r="E1" s="16" t="s">
        <v>475</v>
      </c>
      <c r="F1" s="16" t="s">
        <v>477</v>
      </c>
      <c r="G1" s="16" t="s">
        <v>479</v>
      </c>
      <c r="H1" s="16" t="s">
        <v>481</v>
      </c>
    </row>
    <row r="2">
      <c r="A2" s="17" t="s">
        <v>484</v>
      </c>
      <c r="B2" s="17">
        <v>200.0</v>
      </c>
      <c r="C2" s="17">
        <v>500.0</v>
      </c>
      <c r="D2" s="33">
        <v>1.0</v>
      </c>
      <c r="E2" s="17" t="s">
        <v>497</v>
      </c>
      <c r="F2" s="17">
        <v>50.0</v>
      </c>
      <c r="G2" s="17" t="s">
        <v>500</v>
      </c>
      <c r="H2" s="17" t="s">
        <v>503</v>
      </c>
    </row>
    <row r="3">
      <c r="A3" s="18" t="s">
        <v>507</v>
      </c>
      <c r="B3" s="18">
        <v>150.0</v>
      </c>
      <c r="C3" s="18">
        <v>300.0</v>
      </c>
      <c r="D3" s="34">
        <v>1.0</v>
      </c>
      <c r="E3" s="18" t="s">
        <v>519</v>
      </c>
      <c r="F3" s="18">
        <v>60.0</v>
      </c>
      <c r="G3" s="18" t="s">
        <v>500</v>
      </c>
      <c r="H3" s="18" t="s">
        <v>523</v>
      </c>
    </row>
    <row r="4">
      <c r="A4" s="17" t="s">
        <v>524</v>
      </c>
      <c r="B4" s="17">
        <v>0.0</v>
      </c>
      <c r="C4" s="17">
        <v>10000.0</v>
      </c>
      <c r="D4" s="17" t="s">
        <v>528</v>
      </c>
      <c r="E4" s="17" t="s">
        <v>530</v>
      </c>
      <c r="F4" s="17">
        <v>20.0</v>
      </c>
      <c r="G4" s="17" t="s">
        <v>536</v>
      </c>
      <c r="H4" s="17" t="s">
        <v>539</v>
      </c>
    </row>
    <row r="5">
      <c r="A5" s="17" t="s">
        <v>540</v>
      </c>
      <c r="B5" s="17" t="s">
        <v>542</v>
      </c>
      <c r="C5" s="17" t="s">
        <v>544</v>
      </c>
      <c r="D5" s="17" t="s">
        <v>547</v>
      </c>
      <c r="E5" s="17" t="s">
        <v>550</v>
      </c>
      <c r="F5" s="17">
        <v>200.0</v>
      </c>
      <c r="G5" s="17" t="s">
        <v>555</v>
      </c>
      <c r="H5" s="17" t="s">
        <v>556</v>
      </c>
    </row>
    <row r="6">
      <c r="A6" s="18" t="s">
        <v>560</v>
      </c>
      <c r="B6" s="18" t="s">
        <v>562</v>
      </c>
      <c r="C6" s="18" t="s">
        <v>564</v>
      </c>
      <c r="D6" s="18" t="s">
        <v>547</v>
      </c>
      <c r="E6" s="18" t="s">
        <v>565</v>
      </c>
      <c r="F6" s="18">
        <v>250.0</v>
      </c>
      <c r="G6" s="18" t="s">
        <v>567</v>
      </c>
      <c r="H6" s="18" t="s">
        <v>569</v>
      </c>
    </row>
    <row r="7">
      <c r="A7" s="17" t="s">
        <v>571</v>
      </c>
      <c r="B7" s="17">
        <v>100.0</v>
      </c>
      <c r="C7" s="17">
        <v>1500.0</v>
      </c>
      <c r="D7" s="33">
        <v>0.2</v>
      </c>
      <c r="E7" s="17" t="s">
        <v>574</v>
      </c>
      <c r="F7" s="17">
        <v>150.0</v>
      </c>
      <c r="G7" s="17" t="s">
        <v>500</v>
      </c>
      <c r="H7" s="17" t="s">
        <v>577</v>
      </c>
    </row>
    <row r="8">
      <c r="A8" s="17" t="s">
        <v>578</v>
      </c>
      <c r="B8" s="17">
        <v>0.0</v>
      </c>
      <c r="C8" s="17">
        <v>1500.0</v>
      </c>
      <c r="D8" s="33">
        <v>0.05</v>
      </c>
      <c r="E8" s="17" t="s">
        <v>579</v>
      </c>
      <c r="F8" s="17">
        <v>100.0</v>
      </c>
      <c r="G8" s="17" t="s">
        <v>580</v>
      </c>
      <c r="H8" s="17" t="s">
        <v>581</v>
      </c>
    </row>
    <row r="9">
      <c r="A9" s="17" t="s">
        <v>582</v>
      </c>
      <c r="B9" s="17">
        <v>200.0</v>
      </c>
      <c r="C9" s="17">
        <v>3500.0</v>
      </c>
      <c r="D9" s="33">
        <v>0.1</v>
      </c>
      <c r="E9" s="17" t="s">
        <v>583</v>
      </c>
      <c r="F9" s="17">
        <v>100.0</v>
      </c>
      <c r="G9" s="17" t="s">
        <v>500</v>
      </c>
      <c r="H9" s="17" t="s">
        <v>584</v>
      </c>
    </row>
    <row r="10">
      <c r="A10" s="17" t="s">
        <v>585</v>
      </c>
      <c r="B10" s="17">
        <v>0.0</v>
      </c>
      <c r="C10" s="17">
        <v>0.0</v>
      </c>
      <c r="D10" s="33">
        <v>0.0</v>
      </c>
      <c r="E10" s="17" t="s">
        <v>548</v>
      </c>
      <c r="F10" s="17">
        <v>300.0</v>
      </c>
      <c r="G10" s="17" t="s">
        <v>586</v>
      </c>
      <c r="H10" s="17" t="s">
        <v>587</v>
      </c>
    </row>
    <row r="11">
      <c r="A11" s="17" t="s">
        <v>588</v>
      </c>
      <c r="B11" s="17">
        <v>130.0</v>
      </c>
      <c r="C11" s="17">
        <v>3860.0</v>
      </c>
      <c r="D11" s="33" t="s">
        <v>21</v>
      </c>
      <c r="E11" s="17" t="s">
        <v>589</v>
      </c>
      <c r="F11" s="17" t="s">
        <v>21</v>
      </c>
      <c r="G11" s="17" t="s">
        <v>21</v>
      </c>
      <c r="H11" s="17" t="s">
        <v>590</v>
      </c>
    </row>
    <row r="12">
      <c r="A12" s="17" t="s">
        <v>572</v>
      </c>
      <c r="B12" s="17" t="s">
        <v>591</v>
      </c>
      <c r="C12" s="17" t="s">
        <v>592</v>
      </c>
      <c r="D12" s="33" t="s">
        <v>21</v>
      </c>
      <c r="E12" s="17" t="s">
        <v>593</v>
      </c>
      <c r="F12" s="17" t="s">
        <v>594</v>
      </c>
      <c r="G12" s="17" t="s">
        <v>595</v>
      </c>
      <c r="H12" s="17" t="s">
        <v>596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3" max="3" width="16.25"/>
    <col customWidth="1" min="5" max="5" width="15.88"/>
    <col customWidth="1" min="6" max="6" width="22.25"/>
  </cols>
  <sheetData>
    <row r="1">
      <c r="A1" s="16" t="s">
        <v>490</v>
      </c>
      <c r="B1" s="16" t="s">
        <v>493</v>
      </c>
      <c r="C1" s="16" t="s">
        <v>495</v>
      </c>
      <c r="D1" s="16" t="s">
        <v>498</v>
      </c>
      <c r="E1" s="16" t="s">
        <v>502</v>
      </c>
      <c r="F1" s="16" t="s">
        <v>505</v>
      </c>
    </row>
    <row r="2">
      <c r="A2" s="17" t="s">
        <v>509</v>
      </c>
      <c r="B2" s="17" t="s">
        <v>512</v>
      </c>
      <c r="C2" s="17">
        <v>20.0</v>
      </c>
      <c r="D2" s="17" t="s">
        <v>514</v>
      </c>
      <c r="E2" s="17" t="s">
        <v>516</v>
      </c>
      <c r="F2" s="17" t="s">
        <v>518</v>
      </c>
    </row>
    <row r="3">
      <c r="A3" s="18" t="s">
        <v>521</v>
      </c>
      <c r="B3" s="35">
        <v>1.0</v>
      </c>
      <c r="C3" s="18">
        <v>86400.0</v>
      </c>
      <c r="D3" s="18" t="s">
        <v>531</v>
      </c>
      <c r="E3" s="18" t="s">
        <v>533</v>
      </c>
      <c r="F3" s="18" t="s">
        <v>534</v>
      </c>
    </row>
    <row r="4">
      <c r="A4" s="17" t="s">
        <v>537</v>
      </c>
      <c r="B4" s="36">
        <v>2.0</v>
      </c>
      <c r="C4" s="17">
        <v>8640.0</v>
      </c>
      <c r="D4" s="17" t="s">
        <v>545</v>
      </c>
      <c r="E4" s="17" t="s">
        <v>548</v>
      </c>
      <c r="F4" s="17" t="s">
        <v>551</v>
      </c>
    </row>
    <row r="5">
      <c r="A5" s="17" t="s">
        <v>553</v>
      </c>
      <c r="B5" s="36">
        <v>1.0</v>
      </c>
      <c r="C5" s="17">
        <v>200.0</v>
      </c>
      <c r="D5" s="17" t="s">
        <v>557</v>
      </c>
      <c r="E5" s="17" t="s">
        <v>559</v>
      </c>
      <c r="F5" s="17" t="s">
        <v>561</v>
      </c>
    </row>
    <row r="6">
      <c r="A6" s="18" t="s">
        <v>563</v>
      </c>
      <c r="B6" s="18" t="s">
        <v>21</v>
      </c>
      <c r="C6" s="18" t="s">
        <v>21</v>
      </c>
      <c r="D6" s="18" t="s">
        <v>566</v>
      </c>
      <c r="E6" s="18" t="s">
        <v>568</v>
      </c>
      <c r="F6" s="18" t="s">
        <v>570</v>
      </c>
    </row>
    <row r="7">
      <c r="A7" s="18" t="s">
        <v>572</v>
      </c>
      <c r="B7" s="18" t="s">
        <v>21</v>
      </c>
      <c r="C7" s="18" t="s">
        <v>21</v>
      </c>
      <c r="D7" s="18" t="s">
        <v>573</v>
      </c>
      <c r="E7" s="18" t="s">
        <v>575</v>
      </c>
      <c r="F7" s="18" t="s">
        <v>576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1.75"/>
    <col customWidth="1" min="7" max="7" width="50.25"/>
  </cols>
  <sheetData>
    <row r="1">
      <c r="A1" s="16" t="s">
        <v>597</v>
      </c>
      <c r="B1" s="16" t="s">
        <v>598</v>
      </c>
      <c r="C1" s="16" t="s">
        <v>599</v>
      </c>
      <c r="D1" s="16" t="s">
        <v>600</v>
      </c>
      <c r="E1" s="16" t="s">
        <v>601</v>
      </c>
    </row>
    <row r="2">
      <c r="A2" s="17" t="s">
        <v>602</v>
      </c>
      <c r="B2" s="17">
        <v>0.25</v>
      </c>
      <c r="C2" s="17">
        <v>2.0</v>
      </c>
      <c r="D2" s="17">
        <v>5.0</v>
      </c>
      <c r="E2" s="17" t="s">
        <v>603</v>
      </c>
      <c r="G2" s="37" t="s">
        <v>604</v>
      </c>
    </row>
    <row r="3">
      <c r="A3" s="18" t="s">
        <v>605</v>
      </c>
      <c r="B3" s="35">
        <v>0.2</v>
      </c>
      <c r="C3" s="18">
        <v>3.0</v>
      </c>
      <c r="D3" s="18">
        <v>4.0</v>
      </c>
      <c r="E3" s="18" t="s">
        <v>606</v>
      </c>
      <c r="G3" s="38" t="s">
        <v>607</v>
      </c>
    </row>
    <row r="4">
      <c r="A4" s="17" t="s">
        <v>608</v>
      </c>
      <c r="B4" s="36">
        <v>0.2</v>
      </c>
      <c r="C4" s="17">
        <v>2.0</v>
      </c>
      <c r="D4" s="17">
        <v>4.0</v>
      </c>
      <c r="E4" s="17" t="s">
        <v>609</v>
      </c>
    </row>
    <row r="5">
      <c r="A5" s="17" t="s">
        <v>610</v>
      </c>
      <c r="B5" s="36">
        <v>0.15</v>
      </c>
      <c r="C5" s="17">
        <v>4.0</v>
      </c>
      <c r="D5" s="17">
        <v>2.0</v>
      </c>
      <c r="E5" s="17" t="s">
        <v>611</v>
      </c>
    </row>
    <row r="6">
      <c r="A6" s="18" t="s">
        <v>612</v>
      </c>
      <c r="B6" s="18">
        <v>0.1</v>
      </c>
      <c r="C6" s="18">
        <v>2.0</v>
      </c>
      <c r="D6" s="18">
        <v>4.0</v>
      </c>
      <c r="E6" s="18" t="s">
        <v>613</v>
      </c>
    </row>
    <row r="7">
      <c r="A7" s="18" t="s">
        <v>614</v>
      </c>
      <c r="B7" s="18">
        <v>0.1</v>
      </c>
      <c r="C7" s="18">
        <v>4.0</v>
      </c>
      <c r="D7" s="18">
        <v>3.0</v>
      </c>
      <c r="E7" s="18" t="s">
        <v>615</v>
      </c>
    </row>
    <row r="8">
      <c r="A8" s="18" t="s">
        <v>616</v>
      </c>
      <c r="B8" s="18">
        <v>1.0</v>
      </c>
      <c r="C8" s="18" t="s">
        <v>617</v>
      </c>
      <c r="D8" s="18" t="s">
        <v>618</v>
      </c>
      <c r="E8" s="18" t="s">
        <v>619</v>
      </c>
    </row>
  </sheetData>
  <drawing r:id="rId1"/>
</worksheet>
</file>