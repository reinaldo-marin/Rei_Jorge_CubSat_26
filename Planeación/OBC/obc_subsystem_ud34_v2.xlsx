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_y_Parametros" sheetId="1" state="visible" r:id="rId1"/>
    <sheet xmlns:r="http://schemas.openxmlformats.org/officeDocument/2006/relationships" name="Listado_A_Componentes" sheetId="2" state="visible" r:id="rId2"/>
    <sheet xmlns:r="http://schemas.openxmlformats.org/officeDocument/2006/relationships" name="Listado_B_Componentes" sheetId="3" state="visible" r:id="rId3"/>
    <sheet xmlns:r="http://schemas.openxmlformats.org/officeDocument/2006/relationships" name="Matriz_Requisitos" sheetId="4" state="visible" r:id="rId4"/>
    <sheet xmlns:r="http://schemas.openxmlformats.org/officeDocument/2006/relationships" name="Espec_y_Trazabilidad" sheetId="5" state="visible" r:id="rId5"/>
    <sheet xmlns:r="http://schemas.openxmlformats.org/officeDocument/2006/relationships" name="Distribucion_HW_SW" sheetId="6" state="visible" r:id="rId6"/>
    <sheet xmlns:r="http://schemas.openxmlformats.org/officeDocument/2006/relationships" name="Alternativas_y_Decision" sheetId="7" state="visible" r:id="rId7"/>
    <sheet xmlns:r="http://schemas.openxmlformats.org/officeDocument/2006/relationships" name="Interfaces_ICD" sheetId="8" state="visible" r:id="rId8"/>
    <sheet xmlns:r="http://schemas.openxmlformats.org/officeDocument/2006/relationships" name="Presupuestos_Recursos" sheetId="9" state="visible" r:id="rId9"/>
    <sheet xmlns:r="http://schemas.openxmlformats.org/officeDocument/2006/relationships" name="Estimacion_PCB_Volumen" sheetId="10" state="visible" r:id="rId10"/>
    <sheet xmlns:r="http://schemas.openxmlformats.org/officeDocument/2006/relationships" name="Etapas_o_Secto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&quot;%&quot;"/>
    <numFmt numFmtId="165" formatCode="0.0"/>
    <numFmt numFmtId="166" formatCode="0.0%"/>
    <numFmt numFmtId="167" formatCode="0.00&quot; g&quot;"/>
    <numFmt numFmtId="168" formatCode="0.0&quot; min&quot;"/>
    <numFmt numFmtId="169" formatCode="0.000&quot; Wh&quot;"/>
    <numFmt numFmtId="170" formatCode="0.0&quot; mm²&quot;"/>
    <numFmt numFmtId="171" formatCode="0.0&quot; mm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4B87"/>
      <sz val="14"/>
    </font>
    <font>
      <name val="Calibri"/>
      <i val="1"/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004B87"/>
        <bgColor rgb="00004B87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496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4" fillId="3" borderId="0" pivotButton="0" quotePrefix="0" xfId="0"/>
    <xf numFmtId="0" fontId="3" fillId="4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3" fillId="0" borderId="1" pivotButton="0" quotePrefix="0" xfId="0"/>
    <xf numFmtId="164" fontId="5" fillId="0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wrapText="1"/>
    </xf>
    <xf numFmtId="164" fontId="4" fillId="2" borderId="0" applyAlignment="1" pivotButton="0" quotePrefix="0" xfId="0">
      <alignment horizontal="right" vertical="center"/>
    </xf>
    <xf numFmtId="2" fontId="4" fillId="2" borderId="0" applyAlignment="1" pivotButton="0" quotePrefix="0" xfId="0">
      <alignment horizontal="right" vertical="center"/>
    </xf>
    <xf numFmtId="0" fontId="4" fillId="2" borderId="0" pivotButton="0" quotePrefix="0" xfId="0"/>
    <xf numFmtId="2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167" fontId="4" fillId="2" borderId="0" pivotButton="0" quotePrefix="0" xfId="0"/>
    <xf numFmtId="168" fontId="4" fillId="2" borderId="0" pivotButton="0" quotePrefix="0" xfId="0"/>
    <xf numFmtId="169" fontId="4" fillId="2" borderId="0" pivotButton="0" quotePrefix="0" xfId="0"/>
    <xf numFmtId="165" fontId="5" fillId="0" borderId="1" applyAlignment="1" pivotButton="0" quotePrefix="0" xfId="0">
      <alignment horizontal="right" vertical="center"/>
    </xf>
    <xf numFmtId="170" fontId="4" fillId="2" borderId="0" pivotButton="0" quotePrefix="0" xfId="0"/>
    <xf numFmtId="0" fontId="5" fillId="0" borderId="0" pivotButton="0" quotePrefix="0" xfId="0"/>
    <xf numFmtId="170" fontId="3" fillId="0" borderId="0" pivotButton="0" quotePrefix="0" xfId="0"/>
    <xf numFmtId="166" fontId="3" fillId="5" borderId="0" pivotButton="0" quotePrefix="0" xfId="0"/>
    <xf numFmtId="0" fontId="2" fillId="0" borderId="0" pivotButton="0" quotePrefix="0" xfId="0"/>
    <xf numFmtId="171" fontId="0" fillId="0" borderId="0" pivotButton="0" quotePrefix="0" xfId="0"/>
    <xf numFmtId="171" fontId="4" fillId="2" borderId="0" pivotButton="0" quotePrefix="0" xfId="0"/>
    <xf numFmtId="0" fontId="0" fillId="0" borderId="5" pivotButton="0" quotePrefix="0" xfId="0"/>
    <xf numFmtId="0" fontId="0" fillId="0" borderId="6" pivotButton="0" quotePrefix="0" xfId="0"/>
    <xf numFmtId="166" fontId="5" fillId="0" borderId="1" applyAlignment="1" pivotButton="0" quotePrefix="0" xfId="0">
      <alignment horizontal="right" vertical="center"/>
    </xf>
    <xf numFmtId="167" fontId="4" fillId="2" borderId="0" pivotButton="0" quotePrefix="0" xfId="0"/>
    <xf numFmtId="166" fontId="3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5" fillId="0" borderId="7" pivotButton="0" quotePrefix="0" xfId="0"/>
    <xf numFmtId="0" fontId="5" fillId="7" borderId="7" applyAlignment="1" pivotButton="0" quotePrefix="0" xfId="0">
      <alignment horizontal="center" vertical="center"/>
    </xf>
    <xf numFmtId="0" fontId="3" fillId="7" borderId="7" applyAlignment="1" pivotButton="0" quotePrefix="0" xfId="0">
      <alignment horizontal="center" vertical="center"/>
    </xf>
    <xf numFmtId="0" fontId="5" fillId="7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2" customWidth="1" min="4" max="4"/>
    <col width="22" customWidth="1" min="5" max="5"/>
    <col width="22" customWidth="1" min="6" max="6"/>
    <col width="45" customWidth="1" min="7" max="7"/>
  </cols>
  <sheetData>
    <row r="1" ht="30" customHeight="1">
      <c r="A1" s="1" t="inlineStr">
        <is>
          <t>PROYECTO CUBESAT UD34 1U - SUBSISTEMA OBC (ON-BOARD COMPUTER)</t>
        </is>
      </c>
    </row>
    <row r="2" ht="20" customHeight="1">
      <c r="A2" s="2" t="inlineStr">
        <is>
          <t>Hitos, Objetivos Principales y Parámetros Técnicos | Generado: 2026-09-28 | Versión 1.0 Final Base</t>
        </is>
      </c>
    </row>
    <row r="4">
      <c r="A4" s="3" t="inlineStr">
        <is>
          <t>1. OBJETIVOS Y ROLES PRINCIPALES DE LA OBC</t>
        </is>
      </c>
    </row>
    <row r="5" ht="28" customHeight="1">
      <c r="A5" s="4" t="inlineStr">
        <is>
          <t>Objetivo Primario (Gestión de Misión)</t>
        </is>
      </c>
      <c r="B5" s="5" t="inlineStr">
        <is>
          <t>Ejecutar el Software de Vuelo (FSW/RTOS) en tiempo real para coordinar la Máquina de Estados Global del satélite (Boot, Safe, Normal, Capture, Downlink, Eclipse).</t>
        </is>
      </c>
      <c r="C5" s="32" t="n"/>
      <c r="D5" s="32" t="n"/>
      <c r="E5" s="32" t="n"/>
      <c r="F5" s="32" t="n"/>
      <c r="G5" s="33" t="n"/>
    </row>
    <row r="6" ht="28" customHeight="1">
      <c r="A6" s="4" t="inlineStr">
        <is>
          <t>Objetivo Secundario (Supervisión y Salud)</t>
        </is>
      </c>
      <c r="B6" s="5" t="inlineStr">
        <is>
          <t>Monitorear continuamente la telemetría de todos los subsistemas (EPS, ADCS, TT&amp;C, Payload), gestionar el perro guardián (Watchdog) externo y reiniciar módulos ante anomalías por radiación (SEFI/SEU).</t>
        </is>
      </c>
      <c r="C6" s="32" t="n"/>
      <c r="D6" s="32" t="n"/>
      <c r="E6" s="32" t="n"/>
      <c r="F6" s="32" t="n"/>
      <c r="G6" s="33" t="n"/>
    </row>
    <row r="7" ht="28" customHeight="1">
      <c r="A7" s="4" t="inlineStr">
        <is>
          <t>Objetivo de Gestión de Potencia (Power-Gating)</t>
        </is>
      </c>
      <c r="B7" s="5" t="inlineStr">
        <is>
          <t>Controlar de forma determinista la alimentación de la DPU/Carga Útil mediante la señal discreta DPU_PWR_EN (Load Switch TPS2553) para garantizar un consumo Always-On &lt; 0.25 W.</t>
        </is>
      </c>
      <c r="C7" s="32" t="n"/>
      <c r="D7" s="32" t="n"/>
      <c r="E7" s="32" t="n"/>
      <c r="F7" s="32" t="n"/>
      <c r="G7" s="33" t="n"/>
    </row>
    <row r="8" ht="28" customHeight="1">
      <c r="A8" s="4" t="inlineStr">
        <is>
          <t>Objetivo de Tiempo de Vuelo (OBT)</t>
        </is>
      </c>
      <c r="B8" s="5" t="inlineStr">
        <is>
          <t>Mantener la referencia de hora de a bordo (On-Board Time - OBT) con resolución de milisegundos mediante un RTC externo ultra-preciso (RV-8803) respaldado por MRAM.</t>
        </is>
      </c>
      <c r="C8" s="32" t="n"/>
      <c r="D8" s="32" t="n"/>
      <c r="E8" s="32" t="n"/>
      <c r="F8" s="32" t="n"/>
      <c r="G8" s="33" t="n"/>
    </row>
    <row r="10">
      <c r="A10" s="3" t="inlineStr">
        <is>
          <t>2. HITOS DE DISEÑO Y PARÁMETROS CLAVE DEL SUBSISTEMA</t>
        </is>
      </c>
    </row>
    <row r="11" ht="26" customHeight="1">
      <c r="A11" s="7" t="inlineStr">
        <is>
          <t>ID Parámetro</t>
        </is>
      </c>
      <c r="B11" s="7" t="inlineStr">
        <is>
          <t>Nombre del Parámetro / Hito</t>
        </is>
      </c>
      <c r="C11" s="7" t="inlineStr">
        <is>
          <t>Valor de Diseño</t>
        </is>
      </c>
      <c r="D11" s="7" t="inlineStr">
        <is>
          <t>Unidades</t>
        </is>
      </c>
      <c r="E11" s="7" t="inlineStr">
        <is>
          <t>Componente Asociado</t>
        </is>
      </c>
      <c r="F11" s="7" t="inlineStr">
        <is>
          <t>Cumplimiento Requisito</t>
        </is>
      </c>
      <c r="G11" s="7" t="inlineStr">
        <is>
          <t>Notas Técnicas / Justificación</t>
        </is>
      </c>
    </row>
    <row r="12" ht="22" customHeight="1">
      <c r="A12" s="8" t="inlineStr">
        <is>
          <t>PAR-OBC-01</t>
        </is>
      </c>
      <c r="B12" s="5" t="inlineStr">
        <is>
          <t>Microcontrolador Principal</t>
        </is>
      </c>
      <c r="C12" s="9" t="inlineStr">
        <is>
          <t>STM32H743VIT6</t>
        </is>
      </c>
      <c r="D12" s="8" t="inlineStr">
        <is>
          <t>COTS IC</t>
        </is>
      </c>
      <c r="E12" s="5" t="inlineStr">
        <is>
          <t>STMicroelectronics</t>
        </is>
      </c>
      <c r="F12" s="8" t="inlineStr">
        <is>
          <t>RF-OBC-01 / RNF-OBC-01</t>
        </is>
      </c>
      <c r="G12" s="5" t="inlineStr">
        <is>
          <t>ARM Cortex-M7 @ 480 MHz, 2MB Flash, 1MB RAM</t>
        </is>
      </c>
    </row>
    <row r="13" ht="22" customHeight="1">
      <c r="A13" s="8" t="inlineStr">
        <is>
          <t>PAR-OBC-02</t>
        </is>
      </c>
      <c r="B13" s="5" t="inlineStr">
        <is>
          <t>Consumo en Modo 'Always-On'</t>
        </is>
      </c>
      <c r="C13" s="9" t="inlineStr">
        <is>
          <t>0.22</t>
        </is>
      </c>
      <c r="D13" s="8" t="inlineStr">
        <is>
          <t>W</t>
        </is>
      </c>
      <c r="E13" s="5" t="inlineStr">
        <is>
          <t>STM32H7 + TPS62130</t>
        </is>
      </c>
      <c r="F13" s="8" t="inlineStr">
        <is>
          <t>RNF-OBC-01 (&lt;= 0.30 W)</t>
        </is>
      </c>
      <c r="G13" s="5" t="inlineStr">
        <is>
          <t>Garantiza operación continua sin agotar batería</t>
        </is>
      </c>
    </row>
    <row r="14" ht="22" customHeight="1">
      <c r="A14" s="8" t="inlineStr">
        <is>
          <t>PAR-OBC-03</t>
        </is>
      </c>
      <c r="B14" s="5" t="inlineStr">
        <is>
          <t>Memoria No Volátil Crítica (MRAM)</t>
        </is>
      </c>
      <c r="C14" s="9" t="inlineStr">
        <is>
          <t>4.0</t>
        </is>
      </c>
      <c r="D14" s="8" t="inlineStr">
        <is>
          <t>Mbit (512 KB)</t>
        </is>
      </c>
      <c r="E14" s="5" t="inlineStr">
        <is>
          <t>Everspin MR25H40MDF</t>
        </is>
      </c>
      <c r="F14" s="8" t="inlineStr">
        <is>
          <t>RNF-OBC-03 / RF-OBC-03</t>
        </is>
      </c>
      <c r="G14" s="5" t="inlineStr">
        <is>
          <t>Escritura SPI a 40 MHz, resistencia ilimitada, inmunidad SEL</t>
        </is>
      </c>
    </row>
    <row r="15" ht="22" customHeight="1">
      <c r="A15" s="8" t="inlineStr">
        <is>
          <t>PAR-OBC-04</t>
        </is>
      </c>
      <c r="B15" s="5" t="inlineStr">
        <is>
          <t>Reloj de Tiempo Real (RTC)</t>
        </is>
      </c>
      <c r="C15" s="9" t="inlineStr">
        <is>
          <t>RV-8803-C7</t>
        </is>
      </c>
      <c r="D15" s="8" t="inlineStr">
        <is>
          <t>RTC I2C</t>
        </is>
      </c>
      <c r="E15" s="5" t="inlineStr">
        <is>
          <t>Micro Crystal Switzerland</t>
        </is>
      </c>
      <c r="F15" s="8" t="inlineStr">
        <is>
          <t>RF-OBC-03 (&lt; 1s/día)</t>
        </is>
      </c>
      <c r="G15" s="5" t="inlineStr">
        <is>
          <t>Consumo ultra-bajo 240 nA, cristal 32.768 kHz integrado</t>
        </is>
      </c>
    </row>
    <row r="16" ht="22" customHeight="1">
      <c r="A16" s="8" t="inlineStr">
        <is>
          <t>PAR-OBC-05</t>
        </is>
      </c>
      <c r="B16" s="5" t="inlineStr">
        <is>
          <t>Supervisor Watchdog Externo</t>
        </is>
      </c>
      <c r="C16" s="9" t="inlineStr">
        <is>
          <t>TPS3823-33DBVR</t>
        </is>
      </c>
      <c r="D16" s="8" t="inlineStr">
        <is>
          <t>Timer HW</t>
        </is>
      </c>
      <c r="E16" s="5" t="inlineStr">
        <is>
          <t>Texas Instruments</t>
        </is>
      </c>
      <c r="F16" s="8" t="inlineStr">
        <is>
          <t>RNF-OBC-03 (WDT 1.6s)</t>
        </is>
      </c>
      <c r="G16" s="5" t="inlineStr">
        <is>
          <t>Reset automático por hardware en caso de cuelgue o SEFI</t>
        </is>
      </c>
    </row>
    <row r="17" ht="22" customHeight="1">
      <c r="A17" s="8" t="inlineStr">
        <is>
          <t>PAR-OBC-06</t>
        </is>
      </c>
      <c r="B17" s="5" t="inlineStr">
        <is>
          <t>Transceptor de Bus de Satélite</t>
        </is>
      </c>
      <c r="C17" s="9" t="inlineStr">
        <is>
          <t>TCAN330GDR</t>
        </is>
      </c>
      <c r="D17" s="8" t="inlineStr">
        <is>
          <t>CAN Bus</t>
        </is>
      </c>
      <c r="E17" s="5" t="inlineStr">
        <is>
          <t>Texas Instruments</t>
        </is>
      </c>
      <c r="F17" s="8" t="inlineStr">
        <is>
          <t>RF-OBC-05 (CAN 2.0B)</t>
        </is>
      </c>
      <c r="G17" s="5" t="inlineStr">
        <is>
          <t>Velocidad 1 Mbps, alta inmunidad a ruido y ESD</t>
        </is>
      </c>
    </row>
    <row r="18" ht="22" customHeight="1">
      <c r="A18" s="8" t="inlineStr">
        <is>
          <t>PAR-OBC-07</t>
        </is>
      </c>
      <c r="B18" s="5" t="inlineStr">
        <is>
          <t>Interruptor de Potencia (Load Switch)</t>
        </is>
      </c>
      <c r="C18" s="9" t="inlineStr">
        <is>
          <t>TPS2553DBVR</t>
        </is>
      </c>
      <c r="D18" s="8" t="inlineStr">
        <is>
          <t>Power Switch</t>
        </is>
      </c>
      <c r="E18" s="5" t="inlineStr">
        <is>
          <t>Texas Instruments</t>
        </is>
      </c>
      <c r="F18" s="8" t="inlineStr">
        <is>
          <t>RF-OBC-04 (Power-Gating)</t>
        </is>
      </c>
      <c r="G18" s="5" t="inlineStr">
        <is>
          <t>Control discreto DPU_PWR_EN con límite de corriente</t>
        </is>
      </c>
    </row>
    <row r="19" ht="22" customHeight="1">
      <c r="A19" s="8" t="inlineStr">
        <is>
          <t>PAR-OBC-08</t>
        </is>
      </c>
      <c r="B19" s="5" t="inlineStr">
        <is>
          <t>Voltaje de Operación Lógica</t>
        </is>
      </c>
      <c r="C19" s="9" t="inlineStr">
        <is>
          <t>3.3</t>
        </is>
      </c>
      <c r="D19" s="8" t="inlineStr">
        <is>
          <t>V DC</t>
        </is>
      </c>
      <c r="E19" s="5" t="inlineStr">
        <is>
          <t>TPS62130 Buck</t>
        </is>
      </c>
      <c r="F19" s="8" t="inlineStr">
        <is>
          <t>RA-OBC-01</t>
        </is>
      </c>
      <c r="G19" s="5" t="inlineStr">
        <is>
          <t>Regulado desde el bus V_BAT (7.4V / 5.0V) del EPS</t>
        </is>
      </c>
    </row>
    <row r="20" ht="22" customHeight="1">
      <c r="A20" s="8" t="inlineStr">
        <is>
          <t>PAR-OBC-09</t>
        </is>
      </c>
      <c r="B20" s="5" t="inlineStr">
        <is>
          <t>Masa Estimada de la PCB OBC</t>
        </is>
      </c>
      <c r="C20" s="9" t="inlineStr">
        <is>
          <t>75.0</t>
        </is>
      </c>
      <c r="D20" s="8" t="inlineStr">
        <is>
          <t>g</t>
        </is>
      </c>
      <c r="E20" s="5" t="inlineStr">
        <is>
          <t>PCB + Componentes</t>
        </is>
      </c>
      <c r="F20" s="8" t="inlineStr">
        <is>
          <t>RA-OBC-02 (&lt;= 100g)</t>
        </is>
      </c>
      <c r="G20" s="5" t="inlineStr">
        <is>
          <t>Formato rígido PC/104 90x96 mm</t>
        </is>
      </c>
    </row>
    <row r="21" ht="22" customHeight="1">
      <c r="A21" s="8" t="inlineStr">
        <is>
          <t>PAR-OBC-10</t>
        </is>
      </c>
      <c r="B21" s="5" t="inlineStr">
        <is>
          <t>Tiempo de Arranque en Frío</t>
        </is>
      </c>
      <c r="C21" s="9" t="inlineStr">
        <is>
          <t>1.2</t>
        </is>
      </c>
      <c r="D21" s="8" t="inlineStr">
        <is>
          <t>s</t>
        </is>
      </c>
      <c r="E21" s="5" t="inlineStr">
        <is>
          <t>STM32H7 Boot</t>
        </is>
      </c>
      <c r="F21" s="8" t="inlineStr">
        <is>
          <t>RNF-OBC-02 (&lt;= 2.0s)</t>
        </is>
      </c>
      <c r="G21" s="5" t="inlineStr">
        <is>
          <t>Inicialización RTOS y verificación MRAM</t>
        </is>
      </c>
    </row>
  </sheetData>
  <mergeCells count="8">
    <mergeCell ref="A1:G1"/>
    <mergeCell ref="A10:G10"/>
    <mergeCell ref="B5:G5"/>
    <mergeCell ref="A4:G4"/>
    <mergeCell ref="B8:G8"/>
    <mergeCell ref="A2:G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8" customWidth="1" min="4" max="4"/>
    <col width="18" customWidth="1" min="5" max="5"/>
    <col width="16" customWidth="1" min="6" max="6"/>
    <col width="12" customWidth="1" min="7" max="7"/>
    <col width="14" customWidth="1" min="8" max="8"/>
    <col width="20" customWidth="1" min="9" max="9"/>
    <col width="32" customWidth="1" min="10" max="10"/>
  </cols>
  <sheetData>
    <row r="1" ht="30" customHeight="1">
      <c r="A1" s="1" t="inlineStr">
        <is>
          <t>PROYECTO CUBESAT UD34 1U - LISTADO A: COMPONENTES PRINCIPALES COTS</t>
        </is>
      </c>
    </row>
    <row r="2" ht="20" customHeight="1">
      <c r="A2" s="2" t="inlineStr">
        <is>
          <t>Integrados activos y microprocesadores del subsistema OBC | Generado: 2026-09-28 | Versión 1.0 Final Base</t>
        </is>
      </c>
    </row>
    <row r="4" ht="26" customHeight="1">
      <c r="A4" s="7" t="inlineStr">
        <is>
          <t>Item</t>
        </is>
      </c>
      <c r="B4" s="7" t="inlineStr">
        <is>
          <t>Referencia Exacta</t>
        </is>
      </c>
      <c r="C4" s="7" t="inlineStr">
        <is>
          <t>Fabricante</t>
        </is>
      </c>
      <c r="D4" s="7" t="inlineStr">
        <is>
          <t>Función Principal en la OBC</t>
        </is>
      </c>
      <c r="E4" s="7" t="inlineStr">
        <is>
          <t>Interfaz / Protocolo</t>
        </is>
      </c>
      <c r="F4" s="7" t="inlineStr">
        <is>
          <t>Encapsulado</t>
        </is>
      </c>
      <c r="G4" s="7" t="inlineStr">
        <is>
          <t>Voltaje (V)</t>
        </is>
      </c>
      <c r="H4" s="7" t="inlineStr">
        <is>
          <t>Consumo (mW)</t>
        </is>
      </c>
      <c r="I4" s="7" t="inlineStr">
        <is>
          <t>Requisito Cubierto</t>
        </is>
      </c>
      <c r="J4" s="7" t="inlineStr">
        <is>
          <t>Patrimonio de Vuelo / Fuentes</t>
        </is>
      </c>
    </row>
    <row r="5" ht="24" customHeight="1">
      <c r="A5" s="8" t="n">
        <v>1</v>
      </c>
      <c r="B5" s="5" t="inlineStr">
        <is>
          <t>STM32H743VIT6</t>
        </is>
      </c>
      <c r="C5" s="5" t="inlineStr">
        <is>
          <t>STMicroelectronics</t>
        </is>
      </c>
      <c r="D5" s="5" t="inlineStr">
        <is>
          <t>Microcontrolador Principal de Vuelo (MCU 480 MHz ARM Cortex-M7)</t>
        </is>
      </c>
      <c r="E5" s="5" t="inlineStr">
        <is>
          <t>SPI, I2C, CAN, USART</t>
        </is>
      </c>
      <c r="F5" s="8" t="inlineStr">
        <is>
          <t>LQFP-100</t>
        </is>
      </c>
      <c r="G5" s="8" t="inlineStr">
        <is>
          <t>3.3V</t>
        </is>
      </c>
      <c r="H5" s="10" t="n">
        <v>220</v>
      </c>
      <c r="I5" s="8" t="inlineStr">
        <is>
          <t>RF-OBC-01/02</t>
        </is>
      </c>
      <c r="J5" s="5" t="inlineStr">
        <is>
          <t>Ampliamente usado en CubeSats 1U-3U / NASA SmallSat Avionics</t>
        </is>
      </c>
    </row>
    <row r="6" ht="24" customHeight="1">
      <c r="A6" s="8" t="n">
        <v>2</v>
      </c>
      <c r="B6" s="5" t="inlineStr">
        <is>
          <t>MR25H40MDF</t>
        </is>
      </c>
      <c r="C6" s="5" t="inlineStr">
        <is>
          <t>Everspin Tech.</t>
        </is>
      </c>
      <c r="D6" s="5" t="inlineStr">
        <is>
          <t>Memoria MRAM SPI 4 Mbit (512 KB) para Telemetría y Estado</t>
        </is>
      </c>
      <c r="E6" s="5" t="inlineStr">
        <is>
          <t>SPI (40 MHz)</t>
        </is>
      </c>
      <c r="F6" s="8" t="inlineStr">
        <is>
          <t>DFN-8 (5x6mm)</t>
        </is>
      </c>
      <c r="G6" s="8" t="inlineStr">
        <is>
          <t>3.3V</t>
        </is>
      </c>
      <c r="H6" s="10" t="n">
        <v>45</v>
      </c>
      <c r="I6" s="8" t="inlineStr">
        <is>
          <t>RNF-OBC-03</t>
        </is>
      </c>
      <c r="J6" s="5" t="inlineStr">
        <is>
          <t>Resistencia ilimitada, retenedora sin energía, inmune a SEL en LEO</t>
        </is>
      </c>
    </row>
    <row r="7" ht="24" customHeight="1">
      <c r="A7" s="8" t="n">
        <v>3</v>
      </c>
      <c r="B7" s="5" t="inlineStr">
        <is>
          <t>RV-8803-C7</t>
        </is>
      </c>
      <c r="C7" s="5" t="inlineStr">
        <is>
          <t>Micro Crystal AG</t>
        </is>
      </c>
      <c r="D7" s="5" t="inlineStr">
        <is>
          <t>Reloj de Tiempo Real (RTC) de ultra-bajo consumo con XTAL</t>
        </is>
      </c>
      <c r="E7" s="5" t="inlineStr">
        <is>
          <t>I2C (400 kHz)</t>
        </is>
      </c>
      <c r="F7" s="8" t="inlineStr">
        <is>
          <t>SON-8 (3.2x1.5)</t>
        </is>
      </c>
      <c r="G7" s="8" t="inlineStr">
        <is>
          <t>3.3V</t>
        </is>
      </c>
      <c r="H7" s="10" t="n">
        <v>0.001</v>
      </c>
      <c r="I7" s="8" t="inlineStr">
        <is>
          <t>RF-OBC-03</t>
        </is>
      </c>
      <c r="J7" s="5" t="inlineStr">
        <is>
          <t>Calibrado de fábrica, alta precisión +/- 5ppm, uso aeroespacial COTS</t>
        </is>
      </c>
    </row>
    <row r="8" ht="24" customHeight="1">
      <c r="A8" s="8" t="n">
        <v>4</v>
      </c>
      <c r="B8" s="5" t="inlineStr">
        <is>
          <t>TPS3823-33DBVR</t>
        </is>
      </c>
      <c r="C8" s="5" t="inlineStr">
        <is>
          <t>Texas Instruments</t>
        </is>
      </c>
      <c r="D8" s="5" t="inlineStr">
        <is>
          <t>Supervisor de Voltaje y Perro Guardián (Watchdog 1.6s)</t>
        </is>
      </c>
      <c r="E8" s="5" t="inlineStr">
        <is>
          <t>Reset / WDT Discrete</t>
        </is>
      </c>
      <c r="F8" s="8" t="inlineStr">
        <is>
          <t>SOT-23-5</t>
        </is>
      </c>
      <c r="G8" s="8" t="inlineStr">
        <is>
          <t>3.3V</t>
        </is>
      </c>
      <c r="H8" s="10" t="n">
        <v>0.05</v>
      </c>
      <c r="I8" s="8" t="inlineStr">
        <is>
          <t>RNF-OBC-03</t>
        </is>
      </c>
      <c r="J8" s="5" t="inlineStr">
        <is>
          <t>Reset confiable por hardware ante cuelgues o SEFI por radiación</t>
        </is>
      </c>
    </row>
    <row r="9" ht="24" customHeight="1">
      <c r="A9" s="8" t="n">
        <v>5</v>
      </c>
      <c r="B9" s="5" t="inlineStr">
        <is>
          <t>TCAN330GDR</t>
        </is>
      </c>
      <c r="C9" s="5" t="inlineStr">
        <is>
          <t>Texas Instruments</t>
        </is>
      </c>
      <c r="D9" s="5" t="inlineStr">
        <is>
          <t>Transceptor de Bus CAN 3.3V de Alta Velocidad (1 Mbps)</t>
        </is>
      </c>
      <c r="E9" s="5" t="inlineStr">
        <is>
          <t>CAN Bus (CAN_H/L)</t>
        </is>
      </c>
      <c r="F9" s="8" t="inlineStr">
        <is>
          <t>SOIC-8</t>
        </is>
      </c>
      <c r="G9" s="8" t="inlineStr">
        <is>
          <t>3.3V</t>
        </is>
      </c>
      <c r="H9" s="10" t="n">
        <v>25</v>
      </c>
      <c r="I9" s="8" t="inlineStr">
        <is>
          <t>RF-OBC-05</t>
        </is>
      </c>
      <c r="J9" s="5" t="inlineStr">
        <is>
          <t>Bus de satélite estándar ECSS-E-ST-20C, inmunidad ESD &gt; 14kV</t>
        </is>
      </c>
    </row>
    <row r="10" ht="24" customHeight="1">
      <c r="A10" s="8" t="n">
        <v>6</v>
      </c>
      <c r="B10" s="5" t="inlineStr">
        <is>
          <t>TPS2553DBVR</t>
        </is>
      </c>
      <c r="C10" s="5" t="inlineStr">
        <is>
          <t>Texas Instruments</t>
        </is>
      </c>
      <c r="D10" s="5" t="inlineStr">
        <is>
          <t>Interruptor de Potencia Limitado (Power-Gating DPU/Payload)</t>
        </is>
      </c>
      <c r="E10" s="5" t="inlineStr">
        <is>
          <t>GPIO Control (EN)</t>
        </is>
      </c>
      <c r="F10" s="8" t="inlineStr">
        <is>
          <t>SOT-23-6</t>
        </is>
      </c>
      <c r="G10" s="8" t="inlineStr">
        <is>
          <t>3.3V - 5.0V</t>
        </is>
      </c>
      <c r="H10" s="10" t="n">
        <v>2</v>
      </c>
      <c r="I10" s="8" t="inlineStr">
        <is>
          <t>RF-OBC-04</t>
        </is>
      </c>
      <c r="J10" s="5" t="inlineStr">
        <is>
          <t>Protección contra sobrecorriente/corticircuito en la línea de Carga Útil</t>
        </is>
      </c>
    </row>
    <row r="11" ht="24" customHeight="1">
      <c r="A11" s="8" t="n">
        <v>7</v>
      </c>
      <c r="B11" s="5" t="inlineStr">
        <is>
          <t>TPS62130RGTT</t>
        </is>
      </c>
      <c r="C11" s="5" t="inlineStr">
        <is>
          <t>Texas Instruments</t>
        </is>
      </c>
      <c r="D11" s="5" t="inlineStr">
        <is>
          <t>Regulador Buck Reductor 3A (Conversión 7.4V/5V a 3.3V)</t>
        </is>
      </c>
      <c r="E11" s="5" t="inlineStr">
        <is>
          <t>PWM Power</t>
        </is>
      </c>
      <c r="F11" s="8" t="inlineStr">
        <is>
          <t>VQFN-16 (3x3)</t>
        </is>
      </c>
      <c r="G11" s="8" t="inlineStr">
        <is>
          <t>3.3V Out</t>
        </is>
      </c>
      <c r="H11" s="10" t="n">
        <v>15</v>
      </c>
      <c r="I11" s="8" t="inlineStr">
        <is>
          <t>RA-OBC-01</t>
        </is>
      </c>
      <c r="J11" s="5" t="inlineStr">
        <is>
          <t>Eficiencia &gt; 90%, alimenta toda la lógica de la PCB OBC</t>
        </is>
      </c>
    </row>
    <row r="12" ht="24" customHeight="1">
      <c r="A12" s="8" t="n">
        <v>8</v>
      </c>
      <c r="B12" s="5" t="inlineStr">
        <is>
          <t>TPS7A8300RGWR</t>
        </is>
      </c>
      <c r="C12" s="5" t="inlineStr">
        <is>
          <t>Texas Instruments</t>
        </is>
      </c>
      <c r="D12" s="5" t="inlineStr">
        <is>
          <t>Regulador LDO de Ultra-Bajo Ruido (3A) para Analógica/ADC</t>
        </is>
      </c>
      <c r="E12" s="5" t="inlineStr">
        <is>
          <t>Analog Power</t>
        </is>
      </c>
      <c r="F12" s="8" t="inlineStr">
        <is>
          <t>VQFN-20 (3.5x3.5)</t>
        </is>
      </c>
      <c r="G12" s="8" t="inlineStr">
        <is>
          <t>3.3V Out</t>
        </is>
      </c>
      <c r="H12" s="10" t="n">
        <v>5</v>
      </c>
      <c r="I12" s="8" t="inlineStr">
        <is>
          <t>RA-OBC-01</t>
        </is>
      </c>
      <c r="J12" s="5" t="inlineStr">
        <is>
          <t>Ruido &lt; 6uVRMS, alta precisión para referencias de medición ADC</t>
        </is>
      </c>
    </row>
    <row r="13" ht="24" customHeight="1">
      <c r="A13" s="8" t="n">
        <v>9</v>
      </c>
      <c r="B13" s="5" t="inlineStr">
        <is>
          <t>SiT8008BI-12-33E</t>
        </is>
      </c>
      <c r="C13" s="5" t="inlineStr">
        <is>
          <t>SiTime Corp.</t>
        </is>
      </c>
      <c r="D13" s="5" t="inlineStr">
        <is>
          <t>Oscilador MEMS de Alta Precisión a 25 MHz para MCU</t>
        </is>
      </c>
      <c r="E13" s="5" t="inlineStr">
        <is>
          <t>Clock Output</t>
        </is>
      </c>
      <c r="F13" s="8" t="inlineStr">
        <is>
          <t>QFN-4 (2.5x2.0)</t>
        </is>
      </c>
      <c r="G13" s="8" t="inlineStr">
        <is>
          <t>3.3V</t>
        </is>
      </c>
      <c r="H13" s="10" t="n">
        <v>12</v>
      </c>
      <c r="I13" s="8" t="inlineStr">
        <is>
          <t>RF-OBC-01</t>
        </is>
      </c>
      <c r="J13" s="5" t="inlineStr">
        <is>
          <t>Tolerante a altas vibraciones de lanzamiento frente a cristales cuarzo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2" customWidth="1" min="4" max="4"/>
    <col width="32" customWidth="1" min="5" max="5"/>
    <col width="16" customWidth="1" min="6" max="6"/>
    <col width="10" customWidth="1" min="7" max="7"/>
    <col width="38" customWidth="1" min="8" max="8"/>
    <col width="30" customWidth="1" min="9" max="9"/>
  </cols>
  <sheetData>
    <row r="1" ht="30" customHeight="1">
      <c r="A1" s="1" t="inlineStr">
        <is>
          <t>PROYECTO CUBESAT UD34 1U - LISTADO B: COMPONENTES PASIVOS Y DE INTERCONEXIÓN</t>
        </is>
      </c>
    </row>
    <row r="2" ht="20" customHeight="1">
      <c r="A2" s="2" t="inlineStr">
        <is>
          <t>Conectores, protección ESD y pasivos de la PCB OBC | Generado: 2026-09-28 | Versión 1.0 Final Base</t>
        </is>
      </c>
    </row>
    <row r="4" ht="26" customHeight="1">
      <c r="A4" s="7" t="inlineStr">
        <is>
          <t>Item</t>
        </is>
      </c>
      <c r="B4" s="7" t="inlineStr">
        <is>
          <t>Referencia Exacta</t>
        </is>
      </c>
      <c r="C4" s="7" t="inlineStr">
        <is>
          <t>Fabricante</t>
        </is>
      </c>
      <c r="D4" s="7" t="inlineStr">
        <is>
          <t>Tipo de Componente</t>
        </is>
      </c>
      <c r="E4" s="7" t="inlineStr">
        <is>
          <t>Especificación Técnica</t>
        </is>
      </c>
      <c r="F4" s="7" t="inlineStr">
        <is>
          <t>Encapsulado</t>
        </is>
      </c>
      <c r="G4" s="7" t="inlineStr">
        <is>
          <t>Cantidad</t>
        </is>
      </c>
      <c r="H4" s="7" t="inlineStr">
        <is>
          <t>Función en la PCB OBC</t>
        </is>
      </c>
      <c r="I4" s="7" t="inlineStr">
        <is>
          <t>Uso en Misiones / Fuentes</t>
        </is>
      </c>
    </row>
    <row r="5" ht="24" customHeight="1">
      <c r="A5" s="8" t="n">
        <v>1</v>
      </c>
      <c r="B5" s="5" t="inlineStr">
        <is>
          <t>ESQ-126-12-G-D</t>
        </is>
      </c>
      <c r="C5" s="5" t="inlineStr">
        <is>
          <t>Samtec Inc.</t>
        </is>
      </c>
      <c r="D5" s="5" t="inlineStr">
        <is>
          <t>Conector Bus PC/104</t>
        </is>
      </c>
      <c r="E5" s="5" t="inlineStr">
        <is>
          <t>52 pines (2x26), paso 2.54mm, contactos de oro</t>
        </is>
      </c>
      <c r="F5" s="8" t="inlineStr">
        <is>
          <t>Through-Hole</t>
        </is>
      </c>
      <c r="G5" s="8" t="n">
        <v>1</v>
      </c>
      <c r="H5" s="5" t="inlineStr">
        <is>
          <t>Interconexión vertical del apilamiento (Stack) del CubeSat 1U</t>
        </is>
      </c>
      <c r="I5" s="5" t="inlineStr">
        <is>
          <t>Estándar CDS Rev 14.1 / CubeSat Specification</t>
        </is>
      </c>
    </row>
    <row r="6" ht="24" customHeight="1">
      <c r="A6" s="8" t="n">
        <v>2</v>
      </c>
      <c r="B6" s="5" t="inlineStr">
        <is>
          <t>FTSH-105-01-L-DV</t>
        </is>
      </c>
      <c r="C6" s="5" t="inlineStr">
        <is>
          <t>Samtec Inc.</t>
        </is>
      </c>
      <c r="D6" s="5" t="inlineStr">
        <is>
          <t>Conector Debug SWD</t>
        </is>
      </c>
      <c r="E6" s="5" t="inlineStr">
        <is>
          <t>10 pines (2x5), paso 1.27mm, perfil bajo</t>
        </is>
      </c>
      <c r="F6" s="8" t="inlineStr">
        <is>
          <t>SMD Header</t>
        </is>
      </c>
      <c r="G6" s="8" t="n">
        <v>1</v>
      </c>
      <c r="H6" s="5" t="inlineStr">
        <is>
          <t>Interfaz de depuración y programación JTAG/SWD para STM32H7</t>
        </is>
      </c>
      <c r="I6" s="5" t="inlineStr">
        <is>
          <t>Herramienta estándar de desarrollo Cortex-M</t>
        </is>
      </c>
    </row>
    <row r="7" ht="24" customHeight="1">
      <c r="A7" s="8" t="n">
        <v>3</v>
      </c>
      <c r="B7" s="5" t="inlineStr">
        <is>
          <t>TPD4E001DRLR</t>
        </is>
      </c>
      <c r="C7" s="5" t="inlineStr">
        <is>
          <t>Texas Instruments</t>
        </is>
      </c>
      <c r="D7" s="5" t="inlineStr">
        <is>
          <t>Arreglo ESD 4 Canales</t>
        </is>
      </c>
      <c r="E7" s="5" t="inlineStr">
        <is>
          <t>Protección ESD IEC61000-4-2 +/-15kV, capacitancia 1.5pF</t>
        </is>
      </c>
      <c r="F7" s="8" t="inlineStr">
        <is>
          <t>SOT-553</t>
        </is>
      </c>
      <c r="G7" s="8" t="n">
        <v>2</v>
      </c>
      <c r="H7" s="5" t="inlineStr">
        <is>
          <t>Protección contra descargas electrostáticas en líneas CAN y SWD</t>
        </is>
      </c>
      <c r="I7" s="5" t="inlineStr">
        <is>
          <t>Requisito ECSS-E-ST-20-07C EMC</t>
        </is>
      </c>
    </row>
    <row r="8" ht="24" customHeight="1">
      <c r="A8" s="8" t="n">
        <v>4</v>
      </c>
      <c r="B8" s="5" t="inlineStr">
        <is>
          <t>SMAJ5.0A</t>
        </is>
      </c>
      <c r="C8" s="5" t="inlineStr">
        <is>
          <t>Littelfuse / Diodes</t>
        </is>
      </c>
      <c r="D8" s="5" t="inlineStr">
        <is>
          <t>Diodo TVS Unidireccional</t>
        </is>
      </c>
      <c r="E8" s="5" t="inlineStr">
        <is>
          <t>Voltaje de supresión 5.0V, potencia pico 400W</t>
        </is>
      </c>
      <c r="F8" s="8" t="inlineStr">
        <is>
          <t>SMA (DO-214AC)</t>
        </is>
      </c>
      <c r="G8" s="8" t="n">
        <v>2</v>
      </c>
      <c r="H8" s="5" t="inlineStr">
        <is>
          <t>Protección contra sobrevoltajes en rieles de alimentación 3.3V/5V</t>
        </is>
      </c>
      <c r="I8" s="5" t="inlineStr">
        <is>
          <t>Protección de entrada de potencia EPS</t>
        </is>
      </c>
    </row>
    <row r="9" ht="24" customHeight="1">
      <c r="A9" s="8" t="n">
        <v>5</v>
      </c>
      <c r="B9" s="5" t="inlineStr">
        <is>
          <t>BLM18HE152SN1D</t>
        </is>
      </c>
      <c r="C9" s="5" t="inlineStr">
        <is>
          <t>Murata Electronics</t>
        </is>
      </c>
      <c r="D9" s="5" t="inlineStr">
        <is>
          <t>Cuenta de Ferrita EMI</t>
        </is>
      </c>
      <c r="E9" s="5" t="inlineStr">
        <is>
          <t>Impedancia 1500 Ohm @ 100MHz, corriente 500mA</t>
        </is>
      </c>
      <c r="F9" s="8" t="inlineStr">
        <is>
          <t>0603 (1608)</t>
        </is>
      </c>
      <c r="G9" s="8" t="n">
        <v>4</v>
      </c>
      <c r="H9" s="5" t="inlineStr">
        <is>
          <t>Filtrado de ruido electromagnético en líneas de potencia analógica</t>
        </is>
      </c>
      <c r="I9" s="5" t="inlineStr">
        <is>
          <t>Cumplimiento EMC ECSS-E-ST-20-07C</t>
        </is>
      </c>
    </row>
    <row r="10" ht="24" customHeight="1">
      <c r="A10" s="8" t="n">
        <v>6</v>
      </c>
      <c r="B10" s="5" t="inlineStr">
        <is>
          <t>GRM188R61A106KE69D</t>
        </is>
      </c>
      <c r="C10" s="5" t="inlineStr">
        <is>
          <t>Murata Electronics</t>
        </is>
      </c>
      <c r="D10" s="5" t="inlineStr">
        <is>
          <t>Capacitor Cerámico</t>
        </is>
      </c>
      <c r="E10" s="5" t="inlineStr">
        <is>
          <t>10 uF, 10V, dieléctrico X5R, tolerancia 10%</t>
        </is>
      </c>
      <c r="F10" s="8" t="inlineStr">
        <is>
          <t>0603 (1608)</t>
        </is>
      </c>
      <c r="G10" s="8" t="n">
        <v>12</v>
      </c>
      <c r="H10" s="5" t="inlineStr">
        <is>
          <t>Desacoplamiento masivo de voltaje en reguladores y CI activos</t>
        </is>
      </c>
      <c r="I10" s="5" t="inlineStr">
        <is>
          <t>Estándar de ensamblaje SMD espacio</t>
        </is>
      </c>
    </row>
    <row r="11" ht="24" customHeight="1">
      <c r="A11" s="8" t="n">
        <v>7</v>
      </c>
      <c r="B11" s="5" t="inlineStr">
        <is>
          <t>GRM155R71C104KA88D</t>
        </is>
      </c>
      <c r="C11" s="5" t="inlineStr">
        <is>
          <t>Murata Electronics</t>
        </is>
      </c>
      <c r="D11" s="5" t="inlineStr">
        <is>
          <t>Capacitor Cerámico</t>
        </is>
      </c>
      <c r="E11" s="5" t="inlineStr">
        <is>
          <t>0.1 uF (100 nF), 16V, dieléctrico X7R, tol 10%</t>
        </is>
      </c>
      <c r="F11" s="8" t="inlineStr">
        <is>
          <t>0402 (1005)</t>
        </is>
      </c>
      <c r="G11" s="8" t="n">
        <v>24</v>
      </c>
      <c r="H11" s="5" t="inlineStr">
        <is>
          <t>Desacoplamiento de alta frecuencia en cada pin VDD del STM32H7</t>
        </is>
      </c>
      <c r="I11" s="5" t="inlineStr">
        <is>
          <t>Práctica recomendada por STMicroelectronics</t>
        </is>
      </c>
    </row>
    <row r="12" ht="24" customHeight="1">
      <c r="A12" s="8" t="n">
        <v>8</v>
      </c>
      <c r="B12" s="5" t="inlineStr">
        <is>
          <t>RC0402JR-0710KL</t>
        </is>
      </c>
      <c r="C12" s="5" t="inlineStr">
        <is>
          <t>Yageo</t>
        </is>
      </c>
      <c r="D12" s="5" t="inlineStr">
        <is>
          <t>Resistencia Película Gruesa</t>
        </is>
      </c>
      <c r="E12" s="5" t="inlineStr">
        <is>
          <t>10 kOhm, 1/16W, tolerancia 5%</t>
        </is>
      </c>
      <c r="F12" s="8" t="inlineStr">
        <is>
          <t>0402 (1005)</t>
        </is>
      </c>
      <c r="G12" s="8" t="n">
        <v>8</v>
      </c>
      <c r="H12" s="5" t="inlineStr">
        <is>
          <t>Resistencias de Pull-Up/Pull-Down en líneas I2C, RESET y EN</t>
        </is>
      </c>
      <c r="I12" s="5" t="inlineStr">
        <is>
          <t>Lógica de control discreto</t>
        </is>
      </c>
    </row>
    <row r="13" ht="24" customHeight="1">
      <c r="A13" s="8" t="n">
        <v>9</v>
      </c>
      <c r="B13" s="5" t="inlineStr">
        <is>
          <t>RC0603FR-07120RL</t>
        </is>
      </c>
      <c r="C13" s="5" t="inlineStr">
        <is>
          <t>Yageo</t>
        </is>
      </c>
      <c r="D13" s="5" t="inlineStr">
        <is>
          <t>Resistencia Película Gruesa</t>
        </is>
      </c>
      <c r="E13" s="5" t="inlineStr">
        <is>
          <t>120 Ohm, 1/10W, tolerancia 1%</t>
        </is>
      </c>
      <c r="F13" s="8" t="inlineStr">
        <is>
          <t>0603 (1608)</t>
        </is>
      </c>
      <c r="G13" s="8" t="n">
        <v>1</v>
      </c>
      <c r="H13" s="5" t="inlineStr">
        <is>
          <t>Terminación de línea del bus CAN (120 Ohm) según ISO 11898</t>
        </is>
      </c>
      <c r="I13" s="5" t="inlineStr">
        <is>
          <t>Estándar CAN Bus físico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25" customWidth="1" min="4" max="4"/>
    <col width="30" customWidth="1" min="5" max="5"/>
    <col width="22" customWidth="1" min="6" max="6"/>
  </cols>
  <sheetData>
    <row r="1" ht="30" customHeight="1">
      <c r="A1" s="1" t="inlineStr">
        <is>
          <t>PROYECTO CUBESAT UD34 1U - MATRIZ DE REQUISITOS DEL SUBSISTEMA OBC</t>
        </is>
      </c>
    </row>
    <row r="2" ht="20" customHeight="1">
      <c r="A2" s="2" t="inlineStr">
        <is>
          <t>Requisitos Funcionales, No Funcionales, Ambientales y Normativos | Generado: 2026-09-28 | Versión 1.0 Final Base</t>
        </is>
      </c>
    </row>
    <row r="4" ht="26" customHeight="1">
      <c r="A4" s="7" t="inlineStr">
        <is>
          <t>ID Requisito</t>
        </is>
      </c>
      <c r="B4" s="7" t="inlineStr">
        <is>
          <t>Categoría</t>
        </is>
      </c>
      <c r="C4" s="7" t="inlineStr">
        <is>
          <t>Descripción del Requisito</t>
        </is>
      </c>
      <c r="D4" s="7" t="inlineStr">
        <is>
          <t>Parámetro Cuantitativo</t>
        </is>
      </c>
      <c r="E4" s="7" t="inlineStr">
        <is>
          <t>Criterio de Aceptación</t>
        </is>
      </c>
      <c r="F4" s="7" t="inlineStr">
        <is>
          <t>Método de Verificación</t>
        </is>
      </c>
    </row>
    <row r="5" ht="24" customHeight="1">
      <c r="A5" s="8" t="inlineStr">
        <is>
          <t>RF-OBC-01</t>
        </is>
      </c>
      <c r="B5" s="8" t="inlineStr">
        <is>
          <t>Funcional</t>
        </is>
      </c>
      <c r="C5" s="5" t="inlineStr">
        <is>
          <t>Ejecución de Software de Vuelo RTOS</t>
        </is>
      </c>
      <c r="D5" s="5" t="inlineStr">
        <is>
          <t>Resolución de tareas &lt; 10 ms</t>
        </is>
      </c>
      <c r="E5" s="5" t="inlineStr">
        <is>
          <t>Planificación determinista de tareas de vuelo</t>
        </is>
      </c>
      <c r="F5" s="8" t="inlineStr">
        <is>
          <t>Prueba / Inspección</t>
        </is>
      </c>
    </row>
    <row r="6" ht="24" customHeight="1">
      <c r="A6" s="8" t="inlineStr">
        <is>
          <t>RF-OBC-02</t>
        </is>
      </c>
      <c r="B6" s="8" t="inlineStr">
        <is>
          <t>Funcional</t>
        </is>
      </c>
      <c r="C6" s="5" t="inlineStr">
        <is>
          <t>Gestión de Máquina de Estados del Satélite</t>
        </is>
      </c>
      <c r="D6" s="5" t="inlineStr">
        <is>
          <t>6 estados operativos definidos</t>
        </is>
      </c>
      <c r="E6" s="5" t="inlineStr">
        <is>
          <t>Transición correcta entre Boot, Safe, Normal, etc.</t>
        </is>
      </c>
      <c r="F6" s="8" t="inlineStr">
        <is>
          <t>Prueba de Software</t>
        </is>
      </c>
    </row>
    <row r="7" ht="24" customHeight="1">
      <c r="A7" s="8" t="inlineStr">
        <is>
          <t>RF-OBC-03</t>
        </is>
      </c>
      <c r="B7" s="8" t="inlineStr">
        <is>
          <t>Funcional</t>
        </is>
      </c>
      <c r="C7" s="5" t="inlineStr">
        <is>
          <t>Tiempo de A Bordo (On-Board Time - OBT)</t>
        </is>
      </c>
      <c r="D7" s="5" t="inlineStr">
        <is>
          <t>Deriva &lt; 1.0 s/día</t>
        </is>
      </c>
      <c r="E7" s="5" t="inlineStr">
        <is>
          <t>Mantenimiento de hora real respaldada en MRAM</t>
        </is>
      </c>
      <c r="F7" s="8" t="inlineStr">
        <is>
          <t>Análisis / Prueba</t>
        </is>
      </c>
    </row>
    <row r="8" ht="24" customHeight="1">
      <c r="A8" s="8" t="inlineStr">
        <is>
          <t>RF-OBC-04</t>
        </is>
      </c>
      <c r="B8" s="8" t="inlineStr">
        <is>
          <t>Funcional</t>
        </is>
      </c>
      <c r="C8" s="5" t="inlineStr">
        <is>
          <t>Control de Alimentación de Carga Útil</t>
        </is>
      </c>
      <c r="D8" s="5" t="inlineStr">
        <is>
          <t>Señal discreta DPU_PWR_EN</t>
        </is>
      </c>
      <c r="E8" s="5" t="inlineStr">
        <is>
          <t>Activación/Desactivación de DPU vía TPS2553</t>
        </is>
      </c>
      <c r="F8" s="8" t="inlineStr">
        <is>
          <t>Prueba Electrónica</t>
        </is>
      </c>
    </row>
    <row r="9" ht="24" customHeight="1">
      <c r="A9" s="8" t="inlineStr">
        <is>
          <t>RF-OBC-05</t>
        </is>
      </c>
      <c r="B9" s="8" t="inlineStr">
        <is>
          <t>Funcional</t>
        </is>
      </c>
      <c r="C9" s="5" t="inlineStr">
        <is>
          <t>Comunicación por Bus CAN de Satélite</t>
        </is>
      </c>
      <c r="D9" s="5" t="inlineStr">
        <is>
          <t>Tasa 1 Mbps, CAN 2.0B</t>
        </is>
      </c>
      <c r="E9" s="5" t="inlineStr">
        <is>
          <t>Intercambio de telemetría/comandos con EPS y ADCS</t>
        </is>
      </c>
      <c r="F9" s="8" t="inlineStr">
        <is>
          <t>Prueba de Protocolo</t>
        </is>
      </c>
    </row>
    <row r="10" ht="24" customHeight="1">
      <c r="A10" s="8" t="inlineStr">
        <is>
          <t>RNF-OBC-01</t>
        </is>
      </c>
      <c r="B10" s="8" t="inlineStr">
        <is>
          <t>No Funcional</t>
        </is>
      </c>
      <c r="C10" s="5" t="inlineStr">
        <is>
          <t>Consumo de Potencia en Modo 'Always-On'</t>
        </is>
      </c>
      <c r="D10" s="5" t="inlineStr">
        <is>
          <t>Potencia &lt; 0.30 W (3.3V)</t>
        </is>
      </c>
      <c r="E10" s="5" t="inlineStr">
        <is>
          <t>Consumo medido en laboratorio &lt; 250 mW</t>
        </is>
      </c>
      <c r="F10" s="8" t="inlineStr">
        <is>
          <t>Medición Directa</t>
        </is>
      </c>
    </row>
    <row r="11" ht="24" customHeight="1">
      <c r="A11" s="8" t="inlineStr">
        <is>
          <t>RNF-OBC-02</t>
        </is>
      </c>
      <c r="B11" s="8" t="inlineStr">
        <is>
          <t>No Funcional</t>
        </is>
      </c>
      <c r="C11" s="5" t="inlineStr">
        <is>
          <t>Tiempo de Arranque y Recuperación en Frío</t>
        </is>
      </c>
      <c r="D11" s="5" t="inlineStr">
        <is>
          <t>Tiempo &lt; 2.0 s</t>
        </is>
      </c>
      <c r="E11" s="5" t="inlineStr">
        <is>
          <t>Inicialización completa de periféricos y RTOS</t>
        </is>
      </c>
      <c r="F11" s="8" t="inlineStr">
        <is>
          <t>Medición de Tiempo</t>
        </is>
      </c>
    </row>
    <row r="12" ht="24" customHeight="1">
      <c r="A12" s="8" t="inlineStr">
        <is>
          <t>RNF-OBC-03</t>
        </is>
      </c>
      <c r="B12" s="8" t="inlineStr">
        <is>
          <t>No Funcional</t>
        </is>
      </c>
      <c r="C12" s="5" t="inlineStr">
        <is>
          <t>Mitigación de Radiación y Cuelgues por HW</t>
        </is>
      </c>
      <c r="D12" s="5" t="inlineStr">
        <is>
          <t>Timeout WDT = 1.6 s</t>
        </is>
      </c>
      <c r="E12" s="5" t="inlineStr">
        <is>
          <t>Reinicio automático por hardware ante anomalías SEFI</t>
        </is>
      </c>
      <c r="F12" s="8" t="inlineStr">
        <is>
          <t>Prueba de Inyección</t>
        </is>
      </c>
    </row>
    <row r="13" ht="24" customHeight="1">
      <c r="A13" s="8" t="inlineStr">
        <is>
          <t>RA-OBC-01</t>
        </is>
      </c>
      <c r="B13" s="8" t="inlineStr">
        <is>
          <t>Ambiental</t>
        </is>
      </c>
      <c r="C13" s="5" t="inlineStr">
        <is>
          <t>Rango de Temperatura Operativa en Órbita LEO</t>
        </is>
      </c>
      <c r="D13" s="5" t="inlineStr">
        <is>
          <t>-40 °C a +85 °C</t>
        </is>
      </c>
      <c r="E13" s="5" t="inlineStr">
        <is>
          <t>Operación continua sin degradación de reloj/MRAM</t>
        </is>
      </c>
      <c r="F13" s="8" t="inlineStr">
        <is>
          <t>Prueba Térmica TVAC</t>
        </is>
      </c>
    </row>
    <row r="14" ht="24" customHeight="1">
      <c r="A14" s="8" t="inlineStr">
        <is>
          <t>RA-OBC-02</t>
        </is>
      </c>
      <c r="B14" s="8" t="inlineStr">
        <is>
          <t>Ambiental</t>
        </is>
      </c>
      <c r="C14" s="5" t="inlineStr">
        <is>
          <t>Límite de Masa para la PCB OBC</t>
        </is>
      </c>
      <c r="D14" s="5" t="inlineStr">
        <is>
          <t>Masa &lt;= 100.0 g</t>
        </is>
      </c>
      <c r="E14" s="5" t="inlineStr">
        <is>
          <t>Masa pesada de la PCB fabricada &lt; 100 g</t>
        </is>
      </c>
      <c r="F14" s="8" t="inlineStr">
        <is>
          <t>Inspección / Peso</t>
        </is>
      </c>
    </row>
    <row r="15" ht="24" customHeight="1">
      <c r="A15" s="8" t="inlineStr">
        <is>
          <t>RN-OBC-01</t>
        </is>
      </c>
      <c r="B15" s="8" t="inlineStr">
        <is>
          <t>Normativo</t>
        </is>
      </c>
      <c r="C15" s="5" t="inlineStr">
        <is>
          <t>Cumplimiento de Estándar Mecánico CubeSat</t>
        </is>
      </c>
      <c r="D15" s="5" t="inlineStr">
        <is>
          <t>Factor de Forma PC/104 1U</t>
        </is>
      </c>
      <c r="E15" s="5" t="inlineStr">
        <is>
          <t>Alineación estricta con la norma CDS Rev 14.1</t>
        </is>
      </c>
      <c r="F15" s="8" t="inlineStr">
        <is>
          <t>Inspección Dimensional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22" customWidth="1" min="4" max="4"/>
    <col width="18" customWidth="1" min="5" max="5"/>
    <col width="18" customWidth="1" min="6" max="6"/>
    <col width="20" customWidth="1" min="7" max="7"/>
  </cols>
  <sheetData>
    <row r="1" ht="30" customHeight="1">
      <c r="A1" s="1" t="inlineStr">
        <is>
          <t>PROYECTO CUBESAT UD34 1U - ESPECIFICACIONES TÉCNICAS Y MATRIZ DE TRAZABILIDAD</t>
        </is>
      </c>
    </row>
    <row r="2" ht="20" customHeight="1">
      <c r="A2" s="2" t="inlineStr">
        <is>
          <t>Relación entre requisitos, especificaciones de diseño y componentes | Generado: 2026-09-28 | Versión 1.0 Final Base</t>
        </is>
      </c>
    </row>
    <row r="4" ht="26" customHeight="1">
      <c r="A4" s="7" t="inlineStr">
        <is>
          <t>ID Espec.</t>
        </is>
      </c>
      <c r="B4" s="7" t="inlineStr">
        <is>
          <t>Especificación Técnica Cuantitativa</t>
        </is>
      </c>
      <c r="C4" s="7" t="inlineStr">
        <is>
          <t>Requisito de Origen</t>
        </is>
      </c>
      <c r="D4" s="7" t="inlineStr">
        <is>
          <t>Componente Asociado</t>
        </is>
      </c>
      <c r="E4" s="7" t="inlineStr">
        <is>
          <t>Valor Nominal</t>
        </is>
      </c>
      <c r="F4" s="7" t="inlineStr">
        <is>
          <t>Margen de Diseño</t>
        </is>
      </c>
      <c r="G4" s="7" t="inlineStr">
        <is>
          <t>Estado de Trazabilidad</t>
        </is>
      </c>
    </row>
    <row r="5" ht="24" customHeight="1">
      <c r="A5" s="8" t="inlineStr">
        <is>
          <t>ET-OBC-01</t>
        </is>
      </c>
      <c r="B5" s="5" t="inlineStr">
        <is>
          <t>Frecuencia de Procesamiento CPU Cortex-M7</t>
        </is>
      </c>
      <c r="C5" s="8" t="inlineStr">
        <is>
          <t>RF-OBC-01</t>
        </is>
      </c>
      <c r="D5" s="5" t="inlineStr">
        <is>
          <t>STM32H743VIT6</t>
        </is>
      </c>
      <c r="E5" s="8" t="inlineStr">
        <is>
          <t>480 MHz</t>
        </is>
      </c>
      <c r="F5" s="5" t="inlineStr">
        <is>
          <t>+100% de capacidad</t>
        </is>
      </c>
      <c r="G5" s="8" t="inlineStr">
        <is>
          <t>Conforme / Validado</t>
        </is>
      </c>
    </row>
    <row r="6" ht="24" customHeight="1">
      <c r="A6" s="8" t="inlineStr">
        <is>
          <t>ET-OBC-02</t>
        </is>
      </c>
      <c r="B6" s="5" t="inlineStr">
        <is>
          <t>Consumo de Potencia Continuo Always-On</t>
        </is>
      </c>
      <c r="C6" s="8" t="inlineStr">
        <is>
          <t>RNF-OBC-01</t>
        </is>
      </c>
      <c r="D6" s="5" t="inlineStr">
        <is>
          <t>STM32H7 + TPS62130</t>
        </is>
      </c>
      <c r="E6" s="8" t="inlineStr">
        <is>
          <t>0.22 W</t>
        </is>
      </c>
      <c r="F6" s="5" t="inlineStr">
        <is>
          <t>26.6% por debajo de 0.3W</t>
        </is>
      </c>
      <c r="G6" s="8" t="inlineStr">
        <is>
          <t>Conforme / Validado</t>
        </is>
      </c>
    </row>
    <row r="7" ht="24" customHeight="1">
      <c r="A7" s="8" t="inlineStr">
        <is>
          <t>ET-OBC-03</t>
        </is>
      </c>
      <c r="B7" s="5" t="inlineStr">
        <is>
          <t>Capacidad de Memoria de Telemetría MRAM</t>
        </is>
      </c>
      <c r="C7" s="8" t="inlineStr">
        <is>
          <t>RNF-OBC-03</t>
        </is>
      </c>
      <c r="D7" s="5" t="inlineStr">
        <is>
          <t>Everspin MR25H40MDF</t>
        </is>
      </c>
      <c r="E7" s="8" t="inlineStr">
        <is>
          <t>512 KB (4 Mbit)</t>
        </is>
      </c>
      <c r="F7" s="5" t="inlineStr">
        <is>
          <t>+300% capacidad diaria</t>
        </is>
      </c>
      <c r="G7" s="8" t="inlineStr">
        <is>
          <t>Conforme / Validado</t>
        </is>
      </c>
    </row>
    <row r="8" ht="24" customHeight="1">
      <c r="A8" s="8" t="inlineStr">
        <is>
          <t>ET-OBC-04</t>
        </is>
      </c>
      <c r="B8" s="5" t="inlineStr">
        <is>
          <t>Precisión de Hora de A Bordo (OBT)</t>
        </is>
      </c>
      <c r="C8" s="8" t="inlineStr">
        <is>
          <t>RF-OBC-03</t>
        </is>
      </c>
      <c r="D8" s="5" t="inlineStr">
        <is>
          <t>Micro Crystal RV-8803</t>
        </is>
      </c>
      <c r="E8" s="8" t="inlineStr">
        <is>
          <t>+/- 5 ppm (&lt;0.43s/día)</t>
        </is>
      </c>
      <c r="F8" s="5" t="inlineStr">
        <is>
          <t>+132% margen de precisión</t>
        </is>
      </c>
      <c r="G8" s="8" t="inlineStr">
        <is>
          <t>Conforme / Validado</t>
        </is>
      </c>
    </row>
    <row r="9" ht="24" customHeight="1">
      <c r="A9" s="8" t="inlineStr">
        <is>
          <t>ET-OBC-05</t>
        </is>
      </c>
      <c r="B9" s="5" t="inlineStr">
        <is>
          <t>Tiempo de Timeout del Perro Guardián HW</t>
        </is>
      </c>
      <c r="C9" s="8" t="inlineStr">
        <is>
          <t>RNF-OBC-03</t>
        </is>
      </c>
      <c r="D9" s="5" t="inlineStr">
        <is>
          <t>TI TPS3823-33</t>
        </is>
      </c>
      <c r="E9" s="8" t="inlineStr">
        <is>
          <t>1.60 s</t>
        </is>
      </c>
      <c r="F9" s="5" t="inlineStr">
        <is>
          <t>Margen seguro p/ RTOS</t>
        </is>
      </c>
      <c r="G9" s="8" t="inlineStr">
        <is>
          <t>Conforme / Validado</t>
        </is>
      </c>
    </row>
    <row r="10" ht="24" customHeight="1">
      <c r="A10" s="8" t="inlineStr">
        <is>
          <t>ET-OBC-06</t>
        </is>
      </c>
      <c r="B10" s="5" t="inlineStr">
        <is>
          <t>Velocidad de Transferencia de Bus CAN</t>
        </is>
      </c>
      <c r="C10" s="8" t="inlineStr">
        <is>
          <t>RF-OBC-05</t>
        </is>
      </c>
      <c r="D10" s="5" t="inlineStr">
        <is>
          <t>TI TCAN330GDR</t>
        </is>
      </c>
      <c r="E10" s="8" t="inlineStr">
        <is>
          <t>1.0 Mbps</t>
        </is>
      </c>
      <c r="F10" s="5" t="inlineStr">
        <is>
          <t>+400% sobre bus I2C</t>
        </is>
      </c>
      <c r="G10" s="8" t="inlineStr">
        <is>
          <t>Conforme / Validado</t>
        </is>
      </c>
    </row>
    <row r="11" ht="24" customHeight="1">
      <c r="A11" s="8" t="inlineStr">
        <is>
          <t>ET-OBC-07</t>
        </is>
      </c>
      <c r="B11" s="5" t="inlineStr">
        <is>
          <t>Masa de la Tarjeta Electrónica OBC</t>
        </is>
      </c>
      <c r="C11" s="8" t="inlineStr">
        <is>
          <t>RA-OBC-02</t>
        </is>
      </c>
      <c r="D11" s="5" t="inlineStr">
        <is>
          <t>PCB Rígida PC/104</t>
        </is>
      </c>
      <c r="E11" s="8" t="inlineStr">
        <is>
          <t>75.0 g</t>
        </is>
      </c>
      <c r="F11" s="5" t="inlineStr">
        <is>
          <t>25.0% por debajo de 100g</t>
        </is>
      </c>
      <c r="G11" s="8" t="inlineStr">
        <is>
          <t>Conforme / Validado</t>
        </is>
      </c>
    </row>
    <row r="12" ht="24" customHeight="1">
      <c r="A12" s="8" t="inlineStr">
        <is>
          <t>ET-OBC-08</t>
        </is>
      </c>
      <c r="B12" s="5" t="inlineStr">
        <is>
          <t>Tiempo de Arranque Completo en Frío</t>
        </is>
      </c>
      <c r="C12" s="8" t="inlineStr">
        <is>
          <t>RNF-OBC-02</t>
        </is>
      </c>
      <c r="D12" s="5" t="inlineStr">
        <is>
          <t>Firmware / Boot</t>
        </is>
      </c>
      <c r="E12" s="8" t="inlineStr">
        <is>
          <t>1.20 s</t>
        </is>
      </c>
      <c r="F12" s="5" t="inlineStr">
        <is>
          <t>40.0% margen sobre 2.0s</t>
        </is>
      </c>
      <c r="G12" s="8" t="inlineStr">
        <is>
          <t>Conforme / Validado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24" customWidth="1" min="4" max="4"/>
    <col width="40" customWidth="1" min="5" max="5"/>
    <col width="38" customWidth="1" min="6" max="6"/>
  </cols>
  <sheetData>
    <row r="1" ht="30" customHeight="1">
      <c r="A1" s="1" t="inlineStr">
        <is>
          <t>PROYECTO CUBESAT UD34 1U - DISTRIBUCIÓN DE FUNCIONES HARDWARE VS SOFTWARE</t>
        </is>
      </c>
    </row>
    <row r="2" ht="20" customHeight="1">
      <c r="A2" s="2" t="inlineStr">
        <is>
          <t>Asignación de tareas operativas en el subsistema OBC | Generado: 2026-09-28 | Versión 1.0 Final Base</t>
        </is>
      </c>
    </row>
    <row r="4" ht="26" customHeight="1">
      <c r="A4" s="7" t="inlineStr">
        <is>
          <t>ID Función</t>
        </is>
      </c>
      <c r="B4" s="7" t="inlineStr">
        <is>
          <t>Nombre de la Función Operativa</t>
        </is>
      </c>
      <c r="C4" s="7" t="inlineStr">
        <is>
          <t>Tipo de Implementación</t>
        </is>
      </c>
      <c r="D4" s="7" t="inlineStr">
        <is>
          <t>Recurso Físico / Módulo</t>
        </is>
      </c>
      <c r="E4" s="7" t="inlineStr">
        <is>
          <t>Responsabilidad del Software (FreeRTOS)</t>
        </is>
      </c>
      <c r="F4" s="7" t="inlineStr">
        <is>
          <t>Justificación de la Asignación</t>
        </is>
      </c>
    </row>
    <row r="5" ht="26" customHeight="1">
      <c r="A5" s="8" t="inlineStr">
        <is>
          <t>FUN-OBC-01</t>
        </is>
      </c>
      <c r="B5" s="5" t="inlineStr">
        <is>
          <t>Planificación de Tareas de Vuelo</t>
        </is>
      </c>
      <c r="C5" s="8" t="inlineStr">
        <is>
          <t>Software Puro</t>
        </is>
      </c>
      <c r="D5" s="5" t="inlineStr">
        <is>
          <t>ARM Cortex-M7 (FreeRTOS)</t>
        </is>
      </c>
      <c r="E5" s="5" t="inlineStr">
        <is>
          <t>Kernel Scheduler, colas de mensajes, semáforos</t>
        </is>
      </c>
      <c r="F5" s="5" t="inlineStr">
        <is>
          <t>Flexibilidad para actualizar lógica de misión en vuelo</t>
        </is>
      </c>
    </row>
    <row r="6" ht="26" customHeight="1">
      <c r="A6" s="8" t="inlineStr">
        <is>
          <t>FUN-OBC-02</t>
        </is>
      </c>
      <c r="B6" s="5" t="inlineStr">
        <is>
          <t>Medición Precisa del Tiempo (OBT)</t>
        </is>
      </c>
      <c r="C6" s="8" t="inlineStr">
        <is>
          <t>Mixta (HW + SW)</t>
        </is>
      </c>
      <c r="D6" s="5" t="inlineStr">
        <is>
          <t>RTC RV-8803 + MRAM</t>
        </is>
      </c>
      <c r="E6" s="5" t="inlineStr">
        <is>
          <t>Lectura periódica I2C y sincronización de época</t>
        </is>
      </c>
      <c r="F6" s="5" t="inlineStr">
        <is>
          <t>HW garantiza tiempo durante apagados; SW gestiona sello</t>
        </is>
      </c>
    </row>
    <row r="7" ht="26" customHeight="1">
      <c r="A7" s="8" t="inlineStr">
        <is>
          <t>FUN-OBC-03</t>
        </is>
      </c>
      <c r="B7" s="5" t="inlineStr">
        <is>
          <t>Supervisión y Reset por Cuelgue</t>
        </is>
      </c>
      <c r="C7" s="8" t="inlineStr">
        <is>
          <t>Hardware Puro</t>
        </is>
      </c>
      <c r="D7" s="5" t="inlineStr">
        <is>
          <t>Watchdog TPS3823-33</t>
        </is>
      </c>
      <c r="E7" s="5" t="inlineStr">
        <is>
          <t>Refresco periódico del pin WDT desde tarea IDLE</t>
        </is>
      </c>
      <c r="F7" s="5" t="inlineStr">
        <is>
          <t>Garantiza reset físico independiente si el software se congela</t>
        </is>
      </c>
    </row>
    <row r="8" ht="26" customHeight="1">
      <c r="A8" s="8" t="inlineStr">
        <is>
          <t>FUN-OBC-04</t>
        </is>
      </c>
      <c r="B8" s="5" t="inlineStr">
        <is>
          <t>Gestión de Power-Gating DPU</t>
        </is>
      </c>
      <c r="C8" s="8" t="inlineStr">
        <is>
          <t>Mixta (HW + SW)</t>
        </is>
      </c>
      <c r="D8" s="5" t="inlineStr">
        <is>
          <t>GPIO + TPS2553 Switch</t>
        </is>
      </c>
      <c r="E8" s="5" t="inlineStr">
        <is>
          <t>Algoritmo de decisión de captura según posición GPS</t>
        </is>
      </c>
      <c r="F8" s="5" t="inlineStr">
        <is>
          <t>SW evalúa condiciones; HW corta físicamente la potencia</t>
        </is>
      </c>
    </row>
    <row r="9" ht="26" customHeight="1">
      <c r="A9" s="8" t="inlineStr">
        <is>
          <t>FUN-OBC-05</t>
        </is>
      </c>
      <c r="B9" s="5" t="inlineStr">
        <is>
          <t>Arbitraje de Comunicaciones CAN</t>
        </is>
      </c>
      <c r="C9" s="8" t="inlineStr">
        <is>
          <t>Mixta (HW + SW)</t>
        </is>
      </c>
      <c r="D9" s="5" t="inlineStr">
        <is>
          <t>Periférico bxCAN + TCAN330</t>
        </is>
      </c>
      <c r="E9" s="5" t="inlineStr">
        <is>
          <t>Manejador de interrupciones, parsing de tramas</t>
        </is>
      </c>
      <c r="F9" s="5" t="inlineStr">
        <is>
          <t>HW gestiona capas física/enlace; SW gestiona aplicación</t>
        </is>
      </c>
    </row>
    <row r="10" ht="26" customHeight="1">
      <c r="A10" s="8" t="inlineStr">
        <is>
          <t>FUN-OBC-06</t>
        </is>
      </c>
      <c r="B10" s="5" t="inlineStr">
        <is>
          <t>Almacenamiento Seguro de Registros</t>
        </is>
      </c>
      <c r="C10" s="8" t="inlineStr">
        <is>
          <t>Mixta (HW + SW)</t>
        </is>
      </c>
      <c r="D10" s="5" t="inlineStr">
        <is>
          <t>Driver SPI + MRAM Everspin</t>
        </is>
      </c>
      <c r="E10" s="5" t="inlineStr">
        <is>
          <t>Estructura circular de logs, verificación CRC32</t>
        </is>
      </c>
      <c r="F10" s="5" t="inlineStr">
        <is>
          <t>MRAM asegura cero tiempo de espera en escritura física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2" customWidth="1" min="3" max="3"/>
    <col width="22" customWidth="1" min="4" max="4"/>
    <col width="22" customWidth="1" min="5" max="5"/>
    <col width="42" customWidth="1" min="6" max="6"/>
  </cols>
  <sheetData>
    <row r="1" ht="30" customHeight="1">
      <c r="A1" s="1" t="inlineStr">
        <is>
          <t>PROYECTO CUBESAT UD34 1U - ANÁLISIS DE ALTERNATIVAS Y MATRIZ DE DECISIÓN</t>
        </is>
      </c>
    </row>
    <row r="2" ht="20" customHeight="1">
      <c r="A2" s="2" t="inlineStr">
        <is>
          <t>Evaluación cuantitativa de opciones tecnológicas para la OBC | Generado: 2026-09-28 | Versión 1.0 Final Base</t>
        </is>
      </c>
    </row>
    <row r="4">
      <c r="A4" s="3" t="inlineStr">
        <is>
          <t>1. DESCRIPCIÓN DE ALTERNATIVAS EVALUADAS</t>
        </is>
      </c>
    </row>
    <row r="5" ht="26" customHeight="1">
      <c r="A5" s="4" t="inlineStr">
        <is>
          <t>Alternativa 1 (Seleccionada)</t>
        </is>
      </c>
      <c r="B5" s="11" t="inlineStr">
        <is>
          <t>MCU Dedicado COTS STM32H743 (ARM Cortex-M7 @ 480 MHz) + MRAM SPI + RTC Externe</t>
        </is>
      </c>
      <c r="C5" s="5" t="inlineStr">
        <is>
          <t>Excelente equilibrio entre bajísimo consumo (0.22W), alta potencia de cálculo, ecosistema maduro y patrimonio de vuelo en CubeSats.</t>
        </is>
      </c>
      <c r="D5" s="32" t="n"/>
      <c r="E5" s="32" t="n"/>
      <c r="F5" s="32" t="n"/>
      <c r="G5" s="33" t="n"/>
    </row>
    <row r="6" ht="26" customHeight="1">
      <c r="A6" s="4" t="inlineStr">
        <is>
          <t>Alternativa 2</t>
        </is>
      </c>
      <c r="B6" s="11" t="inlineStr">
        <is>
          <t>Procesador Soft-Core MicroBlaze en FPGA Zynq (Arquitectura Unificada)</t>
        </is>
      </c>
      <c r="C6" s="5" t="inlineStr">
        <is>
          <t>Incorporate la OBC dentro de la FPGA del Payload. Alta integración pero consumo elevado (&gt; 1.2W continuo), riesgoso durante eclipses.</t>
        </is>
      </c>
      <c r="D6" s="32" t="n"/>
      <c r="E6" s="32" t="n"/>
      <c r="F6" s="32" t="n"/>
      <c r="G6" s="33" t="n"/>
    </row>
    <row r="7" ht="26" customHeight="1">
      <c r="A7" s="4" t="inlineStr">
        <is>
          <t>Alternativa 3</t>
        </is>
      </c>
      <c r="B7" s="11" t="inlineStr">
        <is>
          <t>Microcontrolador Ultra-Bajo Consumo MSP430 / STM32L4 (Cortex-M4 @ 80 MHz)</t>
        </is>
      </c>
      <c r="C7" s="5" t="inlineStr">
        <is>
          <t>Consumo mínimo (&lt;0.08W) pero capacidad de cómputo limitada para manejar pilas complejas de RTOS, filtrado ADCS o compresión de respaldos.</t>
        </is>
      </c>
      <c r="D7" s="32" t="n"/>
      <c r="E7" s="32" t="n"/>
      <c r="F7" s="32" t="n"/>
      <c r="G7" s="33" t="n"/>
    </row>
    <row r="9">
      <c r="A9" s="3" t="inlineStr">
        <is>
          <t>2. MATRIZ DE DECISIÓN PONDERADA (PUNTUACIÓN 1 A 5)</t>
        </is>
      </c>
    </row>
    <row r="10" ht="26" customHeight="1">
      <c r="A10" s="7" t="inlineStr">
        <is>
          <t>Criterio de Evaluación</t>
        </is>
      </c>
      <c r="B10" s="7" t="inlineStr">
        <is>
          <t>Peso (%)</t>
        </is>
      </c>
      <c r="C10" s="7" t="inlineStr">
        <is>
          <t>Alt. 1: STM32H7 Dedicated</t>
        </is>
      </c>
      <c r="D10" s="7" t="inlineStr">
        <is>
          <t>Alt. 2: Soft-Core FPGA</t>
        </is>
      </c>
      <c r="E10" s="7" t="inlineStr">
        <is>
          <t>Alt. 3: Low-Power MCU</t>
        </is>
      </c>
      <c r="F10" s="7" t="inlineStr">
        <is>
          <t>Justificación de Puntuación</t>
        </is>
      </c>
    </row>
    <row r="11" ht="22" customHeight="1">
      <c r="A11" s="5" t="inlineStr">
        <is>
          <t>Consumo de Potencia Continuo</t>
        </is>
      </c>
      <c r="B11" s="12" t="n">
        <v>25</v>
      </c>
      <c r="C11" s="13" t="n">
        <v>4.5</v>
      </c>
      <c r="D11" s="13" t="n">
        <v>2</v>
      </c>
      <c r="E11" s="13" t="n">
        <v>5</v>
      </c>
      <c r="F11" s="5" t="inlineStr">
        <is>
          <t>Alt. 3 gana en potencia, pero Alt. 1 con 0.22W es totalmente viable</t>
        </is>
      </c>
    </row>
    <row r="12" ht="22" customHeight="1">
      <c r="A12" s="5" t="inlineStr">
        <is>
          <t>Capacidad de Cómputo y RTOS</t>
        </is>
      </c>
      <c r="B12" s="12" t="n">
        <v>25</v>
      </c>
      <c r="C12" s="13" t="n">
        <v>5</v>
      </c>
      <c r="D12" s="13" t="n">
        <v>4.5</v>
      </c>
      <c r="E12" s="13" t="n">
        <v>2.5</v>
      </c>
      <c r="F12" s="5" t="inlineStr">
        <is>
          <t>STM32H7 Cortex-M7 ofrece 1020 CoreMark, ideal para FSW avanzado</t>
        </is>
      </c>
    </row>
    <row r="13" ht="22" customHeight="1">
      <c r="A13" s="5" t="inlineStr">
        <is>
          <t>Facilidad de Desarrollo y SW</t>
        </is>
      </c>
      <c r="B13" s="12" t="n">
        <v>20</v>
      </c>
      <c r="C13" s="13" t="n">
        <v>5</v>
      </c>
      <c r="D13" s="13" t="n">
        <v>3</v>
      </c>
      <c r="E13" s="13" t="n">
        <v>4</v>
      </c>
      <c r="F13" s="5" t="inlineStr">
        <is>
          <t>Ecosistema STM32Cube y FreeRTOS ampliamente documentados</t>
        </is>
      </c>
    </row>
    <row r="14" ht="22" customHeight="1">
      <c r="A14" s="5" t="inlineStr">
        <is>
          <t>Robustez y Tolerancia Radiación</t>
        </is>
      </c>
      <c r="B14" s="12" t="n">
        <v>15</v>
      </c>
      <c r="C14" s="13" t="n">
        <v>4</v>
      </c>
      <c r="D14" s="13" t="n">
        <v>3</v>
      </c>
      <c r="E14" s="13" t="n">
        <v>3.5</v>
      </c>
      <c r="F14" s="5" t="inlineStr">
        <is>
          <t>MRAM externa + WDT hardware aíslan la memoria contra corrupturas</t>
        </is>
      </c>
    </row>
    <row r="15" ht="22" customHeight="1">
      <c r="A15" s="5" t="inlineStr">
        <is>
          <t>Patrimonio de Vuelo y COTS</t>
        </is>
      </c>
      <c r="B15" s="12" t="n">
        <v>15</v>
      </c>
      <c r="C15" s="13" t="n">
        <v>4.5</v>
      </c>
      <c r="D15" s="13" t="n">
        <v>3.5</v>
      </c>
      <c r="E15" s="13" t="n">
        <v>4</v>
      </c>
      <c r="F15" s="5" t="inlineStr">
        <is>
          <t>Familia STM32H7/F4 volada en más de 50 misiones CubeSat</t>
        </is>
      </c>
    </row>
    <row r="16" ht="26" customHeight="1">
      <c r="A16" s="14" t="inlineStr">
        <is>
          <t>PUNTUACIÓN TOTAL PONDERADA</t>
        </is>
      </c>
      <c r="B16" s="15">
        <f>SUM(B11:B15)</f>
        <v/>
      </c>
      <c r="C16" s="16">
        <f>SUMPRODUCT($B$11:$B$15/100, C11:C15)</f>
        <v/>
      </c>
      <c r="D16" s="16">
        <f>SUMPRODUCT($B$11:$B$15/100, D11:D15)</f>
        <v/>
      </c>
      <c r="E16" s="16">
        <f>SUMPRODUCT($B$11:$B$15/100, E11:E15)</f>
        <v/>
      </c>
      <c r="F16" s="17" t="inlineStr">
        <is>
          <t>SELECCIONADA: ALTERNATIVA 1 (Puntuación 4.63 / 5.00)</t>
        </is>
      </c>
    </row>
  </sheetData>
  <mergeCells count="7">
    <mergeCell ref="C7:G7"/>
    <mergeCell ref="A1:G1"/>
    <mergeCell ref="A9:G9"/>
    <mergeCell ref="C6:G6"/>
    <mergeCell ref="A4:G4"/>
    <mergeCell ref="C5:G5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18" customWidth="1" min="5" max="5"/>
    <col width="22" customWidth="1" min="6" max="6"/>
    <col width="12" customWidth="1" min="7" max="7"/>
    <col width="38" customWidth="1" min="8" max="8"/>
  </cols>
  <sheetData>
    <row r="1" ht="30" customHeight="1">
      <c r="A1" s="1" t="inlineStr">
        <is>
          <t>PROYECTO CUBESAT UD34 1U - DEFINICIÓN DE INTERFACES E ICD PRELIMINAR</t>
        </is>
      </c>
    </row>
    <row r="2" ht="20" customHeight="1">
      <c r="A2" s="2" t="inlineStr">
        <is>
          <t>Interfaces eléctricas, lógicas y conectores del subsistema OBC | Generado: 2026-09-28 | Versión 1.0 Final Base</t>
        </is>
      </c>
    </row>
    <row r="4" ht="26" customHeight="1">
      <c r="A4" s="7" t="inlineStr">
        <is>
          <t>ID Interfaz</t>
        </is>
      </c>
      <c r="B4" s="7" t="inlineStr">
        <is>
          <t>Nombre de la Interfaz</t>
        </is>
      </c>
      <c r="C4" s="7" t="inlineStr">
        <is>
          <t>Subsistema Destino</t>
        </is>
      </c>
      <c r="D4" s="7" t="inlineStr">
        <is>
          <t>Tipo de Señal / Bus</t>
        </is>
      </c>
      <c r="E4" s="7" t="inlineStr">
        <is>
          <t>Pines / Conector</t>
        </is>
      </c>
      <c r="F4" s="7" t="inlineStr">
        <is>
          <t>Protocolo / Especificación</t>
        </is>
      </c>
      <c r="G4" s="7" t="inlineStr">
        <is>
          <t>Dirección</t>
        </is>
      </c>
      <c r="H4" s="7" t="inlineStr">
        <is>
          <t>Descripción y Función</t>
        </is>
      </c>
    </row>
    <row r="5" ht="24" customHeight="1">
      <c r="A5" s="8" t="inlineStr">
        <is>
          <t>IF-PWR-OBC</t>
        </is>
      </c>
      <c r="B5" s="5" t="inlineStr">
        <is>
          <t>Alimentación Principal OBC</t>
        </is>
      </c>
      <c r="C5" s="8" t="inlineStr">
        <is>
          <t>EPS (Power)</t>
        </is>
      </c>
      <c r="D5" s="8" t="inlineStr">
        <is>
          <t>3.3V DC / GND</t>
        </is>
      </c>
      <c r="E5" s="5" t="inlineStr">
        <is>
          <t>PC/104 (Pines 1,2,3,4)</t>
        </is>
      </c>
      <c r="F5" s="5" t="inlineStr">
        <is>
          <t>Línea DC Regulada</t>
        </is>
      </c>
      <c r="G5" s="8" t="inlineStr">
        <is>
          <t>Entrada</t>
        </is>
      </c>
      <c r="H5" s="5" t="inlineStr">
        <is>
          <t>Alimentación continua Always-On desde el regulador Buck EPS</t>
        </is>
      </c>
    </row>
    <row r="6" ht="24" customHeight="1">
      <c r="A6" s="8" t="inlineStr">
        <is>
          <t>IF-BUS-CAN</t>
        </is>
      </c>
      <c r="B6" s="5" t="inlineStr">
        <is>
          <t>Bus de Datos de Satélite</t>
        </is>
      </c>
      <c r="C6" s="8" t="inlineStr">
        <is>
          <t>EPS, ADCS, TT&amp;C</t>
        </is>
      </c>
      <c r="D6" s="8" t="inlineStr">
        <is>
          <t>Diferencial CAN_H/L</t>
        </is>
      </c>
      <c r="E6" s="5" t="inlineStr">
        <is>
          <t>PC/104 (Pines 11, 13)</t>
        </is>
      </c>
      <c r="F6" s="5" t="inlineStr">
        <is>
          <t>CAN 2.0B / 1 Mbps</t>
        </is>
      </c>
      <c r="G6" s="8" t="inlineStr">
        <is>
          <t>Bidireccional</t>
        </is>
      </c>
      <c r="H6" s="5" t="inlineStr">
        <is>
          <t>Telemetría general, comandos de vuelo y baliza de salud</t>
        </is>
      </c>
    </row>
    <row r="7" ht="24" customHeight="1">
      <c r="A7" s="8" t="inlineStr">
        <is>
          <t>IF-CTRL-DPU</t>
        </is>
      </c>
      <c r="B7" s="5" t="inlineStr">
        <is>
          <t>Power-Gating DPU</t>
        </is>
      </c>
      <c r="C7" s="8" t="inlineStr">
        <is>
          <t>Payload (DPU)</t>
        </is>
      </c>
      <c r="D7" s="8" t="inlineStr">
        <is>
          <t>GPIO Discreto 3.3V</t>
        </is>
      </c>
      <c r="E7" s="5" t="inlineStr">
        <is>
          <t>PC/104 (Pin 21)</t>
        </is>
      </c>
      <c r="F7" s="5" t="inlineStr">
        <is>
          <t>Active High (DPU_PWR_EN)</t>
        </is>
      </c>
      <c r="G7" s="8" t="inlineStr">
        <is>
          <t>Salida</t>
        </is>
      </c>
      <c r="H7" s="5" t="inlineStr">
        <is>
          <t>Habilita/Deshabilita la potencia de la FPGA Zynq via TPS2553</t>
        </is>
      </c>
    </row>
    <row r="8" ht="24" customHeight="1">
      <c r="A8" s="8" t="inlineStr">
        <is>
          <t>IF-DATA-PAY</t>
        </is>
      </c>
      <c r="B8" s="5" t="inlineStr">
        <is>
          <t>Bus de Datos Payload</t>
        </is>
      </c>
      <c r="C8" s="8" t="inlineStr">
        <is>
          <t>Payload (DPU)</t>
        </is>
      </c>
      <c r="D8" s="8" t="inlineStr">
        <is>
          <t>SPI / UART</t>
        </is>
      </c>
      <c r="E8" s="5" t="inlineStr">
        <is>
          <t>PC/104 (Pines 23,25,27,29)</t>
        </is>
      </c>
      <c r="F8" s="5" t="inlineStr">
        <is>
          <t>SPI Master (10 MHz)</t>
        </is>
      </c>
      <c r="G8" s="8" t="inlineStr">
        <is>
          <t>Bidireccional</t>
        </is>
      </c>
      <c r="H8" s="5" t="inlineStr">
        <is>
          <t>Transferencia de metadatos de captura y comandos de configuración</t>
        </is>
      </c>
    </row>
    <row r="9" ht="24" customHeight="1">
      <c r="A9" s="8" t="inlineStr">
        <is>
          <t>IF-MEM-MRAM</t>
        </is>
      </c>
      <c r="B9" s="5" t="inlineStr">
        <is>
          <t>Memoria MRAM Externa</t>
        </is>
      </c>
      <c r="C9" s="8" t="inlineStr">
        <is>
          <t>MRAM (Local)</t>
        </is>
      </c>
      <c r="D9" s="8" t="inlineStr">
        <is>
          <t>SPI Bus (4 hilos)</t>
        </is>
      </c>
      <c r="E9" s="5" t="inlineStr">
        <is>
          <t>Trazos PCB Locales</t>
        </is>
      </c>
      <c r="F9" s="5" t="inlineStr">
        <is>
          <t>SPI Mode 0 (40 MHz)</t>
        </is>
      </c>
      <c r="G9" s="8" t="inlineStr">
        <is>
          <t>Bidireccional</t>
        </is>
      </c>
      <c r="H9" s="5" t="inlineStr">
        <is>
          <t>Escritura de logs de vuelo y respaldo de tabla de estados</t>
        </is>
      </c>
    </row>
    <row r="10" ht="24" customHeight="1">
      <c r="A10" s="8" t="inlineStr">
        <is>
          <t>IF-RTC-I2C</t>
        </is>
      </c>
      <c r="B10" s="5" t="inlineStr">
        <is>
          <t>Reloj RTC Real-Time</t>
        </is>
      </c>
      <c r="C10" s="8" t="inlineStr">
        <is>
          <t>RTC (Local)</t>
        </is>
      </c>
      <c r="D10" s="8" t="inlineStr">
        <is>
          <t>I2C (SDA/SCL)</t>
        </is>
      </c>
      <c r="E10" s="5" t="inlineStr">
        <is>
          <t>Trazos PCB Locales</t>
        </is>
      </c>
      <c r="F10" s="5" t="inlineStr">
        <is>
          <t>I2C Fast Mode (400 kHz)</t>
        </is>
      </c>
      <c r="G10" s="8" t="inlineStr">
        <is>
          <t>Bidireccional</t>
        </is>
      </c>
      <c r="H10" s="5" t="inlineStr">
        <is>
          <t>Lectura periódica de hora de a bordo (OBT) y estampados</t>
        </is>
      </c>
    </row>
    <row r="11" ht="24" customHeight="1">
      <c r="A11" s="8" t="inlineStr">
        <is>
          <t>IF-WDT-RST</t>
        </is>
      </c>
      <c r="B11" s="5" t="inlineStr">
        <is>
          <t>Línea de Reset Watchdog</t>
        </is>
      </c>
      <c r="C11" s="8" t="inlineStr">
        <is>
          <t>TPS3823 / MCU</t>
        </is>
      </c>
      <c r="D11" s="8" t="inlineStr">
        <is>
          <t>GPIO / RESET Line</t>
        </is>
      </c>
      <c r="E11" s="5" t="inlineStr">
        <is>
          <t>Trazos PCB Locales</t>
        </is>
      </c>
      <c r="F11" s="5" t="inlineStr">
        <is>
          <t>Pulse Reset / WDT Refresh</t>
        </is>
      </c>
      <c r="G11" s="8" t="inlineStr">
        <is>
          <t>Bidireccional</t>
        </is>
      </c>
      <c r="H11" s="5" t="inlineStr">
        <is>
          <t>Envío de pulso de refresco WDT y recepción de hardware reset</t>
        </is>
      </c>
    </row>
    <row r="12" ht="24" customHeight="1">
      <c r="A12" s="8" t="inlineStr">
        <is>
          <t>IF-DBG-SWD</t>
        </is>
      </c>
      <c r="B12" s="5" t="inlineStr">
        <is>
          <t>Interfaz Depuración SWD</t>
        </is>
      </c>
      <c r="C12" s="8" t="inlineStr">
        <is>
          <t>Estación de Tierra</t>
        </is>
      </c>
      <c r="D12" s="8" t="inlineStr">
        <is>
          <t>SWD (SWCLK/SWDIO)</t>
        </is>
      </c>
      <c r="E12" s="5" t="inlineStr">
        <is>
          <t>Header FTSH-105 10-pin</t>
        </is>
      </c>
      <c r="F12" s="5" t="inlineStr">
        <is>
          <t>ARM SWD Standard</t>
        </is>
      </c>
      <c r="G12" s="8" t="inlineStr">
        <is>
          <t>Bidireccional</t>
        </is>
      </c>
      <c r="H12" s="5" t="inlineStr">
        <is>
          <t>Programación de firmware en laboratorio y depuración en hardware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8" customWidth="1" min="3" max="3"/>
    <col width="18" customWidth="1" min="4" max="4"/>
    <col width="16" customWidth="1" min="5" max="5"/>
    <col width="18" customWidth="1" min="6" max="6"/>
    <col width="30" customWidth="1" min="7" max="7"/>
  </cols>
  <sheetData>
    <row r="1" ht="30" customHeight="1">
      <c r="A1" s="1" t="inlineStr">
        <is>
          <t>PROYECTO CUBESAT UD34 1U - PRESUPUESTOS DE RECURSOS: MASA, POTENCIA Y MEMORIA</t>
        </is>
      </c>
    </row>
    <row r="2" ht="20" customHeight="1">
      <c r="A2" s="2" t="inlineStr">
        <is>
          <t>Desglose de recursos físicos y márgenes de diseño de la OBC | Generado: 2026-09-28 | Versión 1.0 Final Base</t>
        </is>
      </c>
    </row>
    <row r="4">
      <c r="A4" s="3" t="inlineStr">
        <is>
          <t>1. PRESUPUESTO DE MASA DE LA PCB OBC</t>
        </is>
      </c>
    </row>
    <row r="5" ht="26" customHeight="1">
      <c r="A5" s="7" t="inlineStr">
        <is>
          <t>Elemento / Componente</t>
        </is>
      </c>
      <c r="B5" s="7" t="inlineStr">
        <is>
          <t>Cantidad</t>
        </is>
      </c>
      <c r="C5" s="7" t="inlineStr">
        <is>
          <t>Masa Unitaria (g)</t>
        </is>
      </c>
      <c r="D5" s="7" t="inlineStr">
        <is>
          <t>Masa Total (g)</t>
        </is>
      </c>
      <c r="E5" s="7" t="inlineStr">
        <is>
          <t>Porcentaje (%)</t>
        </is>
      </c>
      <c r="F5" s="7" t="inlineStr">
        <is>
          <t>Margen Aplicado</t>
        </is>
      </c>
      <c r="G5" s="7" t="inlineStr">
        <is>
          <t>Notas de Estimación</t>
        </is>
      </c>
    </row>
    <row r="6" ht="20" customHeight="1">
      <c r="A6" s="5" t="inlineStr">
        <is>
          <t>Substrato PCB FR4 (4 capas, 90x96x1.6mm)</t>
        </is>
      </c>
      <c r="B6" s="8" t="n">
        <v>1</v>
      </c>
      <c r="C6" s="18" t="n">
        <v>42</v>
      </c>
      <c r="D6" s="18">
        <f>B6*C6</f>
        <v/>
      </c>
      <c r="E6" s="34">
        <f>D6/$D$14</f>
        <v/>
      </c>
      <c r="F6" s="20" t="inlineStr">
        <is>
          <t>10%</t>
        </is>
      </c>
      <c r="G6" s="5" t="inlineStr">
        <is>
          <t>Formato estándar PC/104 rígido</t>
        </is>
      </c>
    </row>
    <row r="7" ht="20" customHeight="1">
      <c r="A7" s="5" t="inlineStr">
        <is>
          <t>Conector Bus PC/104 (Samtec ESQ-126)</t>
        </is>
      </c>
      <c r="B7" s="8" t="n">
        <v>1</v>
      </c>
      <c r="C7" s="18" t="n">
        <v>14.5</v>
      </c>
      <c r="D7" s="18">
        <f>B7*C7</f>
        <v/>
      </c>
      <c r="E7" s="34">
        <f>D7/$D$14</f>
        <v/>
      </c>
      <c r="F7" s="20" t="inlineStr">
        <is>
          <t>5%</t>
        </is>
      </c>
      <c r="G7" s="5" t="inlineStr">
        <is>
          <t>52 pines Through-Hole chapado oro</t>
        </is>
      </c>
    </row>
    <row r="8" ht="20" customHeight="1">
      <c r="A8" s="5" t="inlineStr">
        <is>
          <t>Microcontrolador STM32H743 (LQFP-100)</t>
        </is>
      </c>
      <c r="B8" s="8" t="n">
        <v>1</v>
      </c>
      <c r="C8" s="18" t="n">
        <v>1.2</v>
      </c>
      <c r="D8" s="18">
        <f>B8*C8</f>
        <v/>
      </c>
      <c r="E8" s="34">
        <f>D8/$D$14</f>
        <v/>
      </c>
      <c r="F8" s="20" t="inlineStr">
        <is>
          <t>5%</t>
        </is>
      </c>
      <c r="G8" s="5" t="inlineStr">
        <is>
          <t>Encapsulado plástico de superficie</t>
        </is>
      </c>
    </row>
    <row r="9" ht="20" customHeight="1">
      <c r="A9" s="5" t="inlineStr">
        <is>
          <t>Memoria MRAM Everspin (DFN-8)</t>
        </is>
      </c>
      <c r="B9" s="8" t="n">
        <v>1</v>
      </c>
      <c r="C9" s="18" t="n">
        <v>0.15</v>
      </c>
      <c r="D9" s="18">
        <f>B9*C9</f>
        <v/>
      </c>
      <c r="E9" s="34">
        <f>D9/$D$14</f>
        <v/>
      </c>
      <c r="F9" s="20" t="inlineStr">
        <is>
          <t>5%</t>
        </is>
      </c>
      <c r="G9" s="5" t="inlineStr">
        <is>
          <t>Componente SMD ultraligero</t>
        </is>
      </c>
    </row>
    <row r="10" ht="20" customHeight="1">
      <c r="A10" s="5" t="inlineStr">
        <is>
          <t>RTC + Watchdog + Transceptor CAN + LCL</t>
        </is>
      </c>
      <c r="B10" s="8" t="n">
        <v>4</v>
      </c>
      <c r="C10" s="18" t="n">
        <v>0.4</v>
      </c>
      <c r="D10" s="18">
        <f>B10*C10</f>
        <v/>
      </c>
      <c r="E10" s="34">
        <f>D10/$D$14</f>
        <v/>
      </c>
      <c r="F10" s="20" t="inlineStr">
        <is>
          <t>5%</t>
        </is>
      </c>
      <c r="G10" s="5" t="inlineStr">
        <is>
          <t>Sumatoria de CI auxiliares activos</t>
        </is>
      </c>
    </row>
    <row r="11" ht="20" customHeight="1">
      <c r="A11" s="5" t="inlineStr">
        <is>
          <t>Reguladores de Potencia Buck/LDO</t>
        </is>
      </c>
      <c r="B11" s="8" t="n">
        <v>2</v>
      </c>
      <c r="C11" s="18" t="n">
        <v>0.6</v>
      </c>
      <c r="D11" s="18">
        <f>B11*C11</f>
        <v/>
      </c>
      <c r="E11" s="34">
        <f>D11/$D$14</f>
        <v/>
      </c>
      <c r="F11" s="20" t="inlineStr">
        <is>
          <t>5%</t>
        </is>
      </c>
      <c r="G11" s="5" t="inlineStr">
        <is>
          <t>TI TPS62130 + TPS7A8300</t>
        </is>
      </c>
    </row>
    <row r="12" ht="20" customHeight="1">
      <c r="A12" s="5" t="inlineStr">
        <is>
          <t>Componentes Pasivos SMD (Capacitores/Res/TVS)</t>
        </is>
      </c>
      <c r="B12" s="8" t="n">
        <v>52</v>
      </c>
      <c r="C12" s="18" t="n">
        <v>0.05</v>
      </c>
      <c r="D12" s="18">
        <f>B12*C12</f>
        <v/>
      </c>
      <c r="E12" s="34">
        <f>D12/$D$14</f>
        <v/>
      </c>
      <c r="F12" s="20" t="inlineStr">
        <is>
          <t>10%</t>
        </is>
      </c>
      <c r="G12" s="5" t="inlineStr">
        <is>
          <t>Pasivos 0402 y 0603</t>
        </is>
      </c>
    </row>
    <row r="13" ht="20" customHeight="1">
      <c r="A13" s="5" t="inlineStr">
        <is>
          <t>Sombra de Soldadura y Metalización Cobre</t>
        </is>
      </c>
      <c r="B13" s="8" t="n">
        <v>1</v>
      </c>
      <c r="C13" s="18" t="n">
        <v>3.5</v>
      </c>
      <c r="D13" s="18">
        <f>B13*C13</f>
        <v/>
      </c>
      <c r="E13" s="34">
        <f>D13/$D$14</f>
        <v/>
      </c>
      <c r="F13" s="20" t="inlineStr">
        <is>
          <t>10%</t>
        </is>
      </c>
      <c r="G13" s="5" t="inlineStr">
        <is>
          <t>Estaño/Plomo y cobre interno 1oz</t>
        </is>
      </c>
    </row>
    <row r="14">
      <c r="A14" s="17" t="inlineStr">
        <is>
          <t>MASA TOTAL ESTIMADA DE LA PCB OBC</t>
        </is>
      </c>
      <c r="D14" s="35">
        <f>SUM(D6:D13)</f>
        <v/>
      </c>
      <c r="E14" s="17" t="inlineStr">
        <is>
          <t>100.0%</t>
        </is>
      </c>
      <c r="G14" s="17" t="inlineStr">
        <is>
          <t>Límite RA-OBC-02: 100g (Margen 35%)</t>
        </is>
      </c>
    </row>
    <row r="16">
      <c r="A16" s="3" t="inlineStr">
        <is>
          <t>2. PRESUPUESTO DE POTENCIA Y ENERGÍA</t>
        </is>
      </c>
    </row>
    <row r="17" ht="26" customHeight="1">
      <c r="A17" s="7" t="inlineStr">
        <is>
          <t>Modo Operativo de Misión</t>
        </is>
      </c>
      <c r="B17" s="7" t="inlineStr">
        <is>
          <t>Duración p/ Órbita (min)</t>
        </is>
      </c>
      <c r="C17" s="7" t="inlineStr">
        <is>
          <t>Consumo OBC (W)</t>
        </is>
      </c>
      <c r="D17" s="7" t="inlineStr">
        <is>
          <t>Energía (Wh/órbita)</t>
        </is>
      </c>
      <c r="E17" s="7" t="inlineStr">
        <is>
          <t>Estado del Payload</t>
        </is>
      </c>
      <c r="F17" s="7" t="inlineStr">
        <is>
          <t>Estado de la Radio</t>
        </is>
      </c>
      <c r="G17" s="7" t="inlineStr">
        <is>
          <t>Observaciones del Modo</t>
        </is>
      </c>
    </row>
    <row r="18" ht="20" customHeight="1">
      <c r="A18" s="5" t="inlineStr">
        <is>
          <t>Modo Sol / Carga (Normal)</t>
        </is>
      </c>
      <c r="B18" s="18" t="n">
        <v>50</v>
      </c>
      <c r="C18" s="18" t="n">
        <v>0.22</v>
      </c>
      <c r="D18" s="20">
        <f>(B18/60)*C18</f>
        <v/>
      </c>
      <c r="E18" s="5" t="inlineStr">
        <is>
          <t>Apagado (Power-Gated)</t>
        </is>
      </c>
      <c r="F18" s="5" t="inlineStr">
        <is>
          <t>Recepción LNA (Beacon)</t>
        </is>
      </c>
      <c r="G18" s="5" t="inlineStr">
        <is>
          <t>MCU en ejecuc. estándar RTOS</t>
        </is>
      </c>
    </row>
    <row r="19" ht="20" customHeight="1">
      <c r="A19" s="5" t="inlineStr">
        <is>
          <t>Modo Captura de Imágenes</t>
        </is>
      </c>
      <c r="B19" s="18" t="n">
        <v>4.5</v>
      </c>
      <c r="C19" s="18" t="n">
        <v>0.25</v>
      </c>
      <c r="D19" s="20">
        <f>(B19/60)*C19</f>
        <v/>
      </c>
      <c r="E19" s="5" t="inlineStr">
        <is>
          <t>ENCENDIDO (1.65 W)</t>
        </is>
      </c>
      <c r="F19" s="5" t="inlineStr">
        <is>
          <t>Standby</t>
        </is>
      </c>
      <c r="G19" s="5" t="inlineStr">
        <is>
          <t>MCU coordina DPU via SPI/GPIO</t>
        </is>
      </c>
    </row>
    <row r="20" ht="20" customHeight="1">
      <c r="A20" s="5" t="inlineStr">
        <is>
          <t>Modo Transmisión / Downlink</t>
        </is>
      </c>
      <c r="B20" s="18" t="n">
        <v>8</v>
      </c>
      <c r="C20" s="18" t="n">
        <v>0.25</v>
      </c>
      <c r="D20" s="20">
        <f>(B20/60)*C20</f>
        <v/>
      </c>
      <c r="E20" s="5" t="inlineStr">
        <is>
          <t>Apagado</t>
        </is>
      </c>
      <c r="F20" s="5" t="inlineStr">
        <is>
          <t>Transmisión TX (2.0 W)</t>
        </is>
      </c>
      <c r="G20" s="5" t="inlineStr">
        <is>
          <t>MCU alimenta bus datos a TX</t>
        </is>
      </c>
    </row>
    <row r="21" ht="20" customHeight="1">
      <c r="A21" s="5" t="inlineStr">
        <is>
          <t>Modo Eclipse (Sombra)</t>
        </is>
      </c>
      <c r="B21" s="18" t="n">
        <v>35.5</v>
      </c>
      <c r="C21" s="18" t="n">
        <v>0.2</v>
      </c>
      <c r="D21" s="20">
        <f>(B21/60)*C21</f>
        <v/>
      </c>
      <c r="E21" s="5" t="inlineStr">
        <is>
          <t>Apagado</t>
        </is>
      </c>
      <c r="F21" s="5" t="inlineStr">
        <is>
          <t>Beacon reducido</t>
        </is>
      </c>
      <c r="G21" s="5" t="inlineStr">
        <is>
          <t>MCU escala reloj a 120 MHz</t>
        </is>
      </c>
    </row>
    <row r="22">
      <c r="A22" s="17" t="inlineStr">
        <is>
          <t>ENERGÍA TOTAL CONSUMIDA POR OBC POR ÓRBITA</t>
        </is>
      </c>
      <c r="B22" s="22">
        <f>SUM(B18:B21)</f>
        <v/>
      </c>
      <c r="D22" s="23">
        <f>SUM(D18:D21)</f>
        <v/>
      </c>
      <c r="G22" s="17" t="inlineStr">
        <is>
          <t>Representa &lt; 3.8% de la batería (8.8 Wh)</t>
        </is>
      </c>
    </row>
  </sheetData>
  <mergeCells count="4">
    <mergeCell ref="A16:G16"/>
    <mergeCell ref="A2:G2"/>
    <mergeCell ref="A1:G1"/>
    <mergeCell ref="A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0" customWidth="1" min="5" max="5"/>
    <col width="18" customWidth="1" min="6" max="6"/>
    <col width="22" customWidth="1" min="7" max="7"/>
  </cols>
  <sheetData>
    <row r="1" ht="30" customHeight="1">
      <c r="A1" s="1" t="inlineStr">
        <is>
          <t>PROYECTO CUBESAT UD34 1U - ESTIMACIÓN DE ÁREA DE PCB Y SOBRE VOLUMÉTRICO 1U</t>
        </is>
      </c>
    </row>
    <row r="2" ht="20" customHeight="1">
      <c r="A2" s="2" t="inlineStr">
        <is>
          <t>Cálculo de ocupación de superficie SMD y altura vertical en la pila PC/104 | Generado: 2026-09-28 | Versión 1.0 Final Base</t>
        </is>
      </c>
    </row>
    <row r="4">
      <c r="A4" s="3" t="inlineStr">
        <is>
          <t>1. ÁREA DE COMPONENTES Y OCUPACIÓN EN PCB</t>
        </is>
      </c>
    </row>
    <row r="5" ht="26" customHeight="1">
      <c r="A5" s="7" t="inlineStr">
        <is>
          <t>Componente / Grupo</t>
        </is>
      </c>
      <c r="B5" s="7" t="inlineStr">
        <is>
          <t>Encapsulado</t>
        </is>
      </c>
      <c r="C5" s="7" t="inlineStr">
        <is>
          <t>Dimensiones (mm)</t>
        </is>
      </c>
      <c r="D5" s="7" t="inlineStr">
        <is>
          <t>Área Unitaria (mm²)</t>
        </is>
      </c>
      <c r="E5" s="7" t="inlineStr">
        <is>
          <t>Cantidad</t>
        </is>
      </c>
      <c r="F5" s="7" t="inlineStr">
        <is>
          <t>Área Total (mm²)</t>
        </is>
      </c>
      <c r="G5" s="7" t="inlineStr">
        <is>
          <t>Capa Destino (TOP/BOT)</t>
        </is>
      </c>
    </row>
    <row r="6" ht="20" customHeight="1">
      <c r="A6" s="5" t="inlineStr">
        <is>
          <t>Microcontrolador STM32H743</t>
        </is>
      </c>
      <c r="B6" s="8" t="inlineStr">
        <is>
          <t>LQFP-100</t>
        </is>
      </c>
      <c r="C6" s="8" t="inlineStr">
        <is>
          <t>16.0 x 16.0</t>
        </is>
      </c>
      <c r="D6" s="24">
        <f>16*16</f>
        <v/>
      </c>
      <c r="E6" s="8" t="n">
        <v>1</v>
      </c>
      <c r="F6" s="24">
        <f>D6*E6</f>
        <v/>
      </c>
      <c r="G6" s="5" t="inlineStr">
        <is>
          <t>Capa TOP</t>
        </is>
      </c>
    </row>
    <row r="7" ht="20" customHeight="1">
      <c r="A7" s="5" t="inlineStr">
        <is>
          <t>Memoria MRAM Everspin</t>
        </is>
      </c>
      <c r="B7" s="8" t="inlineStr">
        <is>
          <t>DFN-8</t>
        </is>
      </c>
      <c r="C7" s="8" t="inlineStr">
        <is>
          <t>5.0 x 6.0</t>
        </is>
      </c>
      <c r="D7" s="24">
        <f>5*6</f>
        <v/>
      </c>
      <c r="E7" s="8" t="n">
        <v>1</v>
      </c>
      <c r="F7" s="24">
        <f>D7*E7</f>
        <v/>
      </c>
      <c r="G7" s="5" t="inlineStr">
        <is>
          <t>Capa TOP</t>
        </is>
      </c>
    </row>
    <row r="8" ht="20" customHeight="1">
      <c r="A8" s="5" t="inlineStr">
        <is>
          <t>Reloj RTC RV-8803</t>
        </is>
      </c>
      <c r="B8" s="8" t="inlineStr">
        <is>
          <t>SON-8</t>
        </is>
      </c>
      <c r="C8" s="8" t="inlineStr">
        <is>
          <t>3.2 x 1.5</t>
        </is>
      </c>
      <c r="D8" s="24">
        <f>3.2*1.5</f>
        <v/>
      </c>
      <c r="E8" s="8" t="n">
        <v>1</v>
      </c>
      <c r="F8" s="24">
        <f>D8*E8</f>
        <v/>
      </c>
      <c r="G8" s="5" t="inlineStr">
        <is>
          <t>Capa TOP</t>
        </is>
      </c>
    </row>
    <row r="9" ht="20" customHeight="1">
      <c r="A9" s="5" t="inlineStr">
        <is>
          <t>Watchdog TPS3823</t>
        </is>
      </c>
      <c r="B9" s="8" t="inlineStr">
        <is>
          <t>SOT-23-5</t>
        </is>
      </c>
      <c r="C9" s="8" t="inlineStr">
        <is>
          <t>2.9 x 1.6</t>
        </is>
      </c>
      <c r="D9" s="24">
        <f>2.9*1.6</f>
        <v/>
      </c>
      <c r="E9" s="8" t="n">
        <v>1</v>
      </c>
      <c r="F9" s="24">
        <f>D9*E9</f>
        <v/>
      </c>
      <c r="G9" s="5" t="inlineStr">
        <is>
          <t>Capa TOP</t>
        </is>
      </c>
    </row>
    <row r="10" ht="20" customHeight="1">
      <c r="A10" s="5" t="inlineStr">
        <is>
          <t>Transceptor CAN TCAN330</t>
        </is>
      </c>
      <c r="B10" s="8" t="inlineStr">
        <is>
          <t>SOIC-8</t>
        </is>
      </c>
      <c r="C10" s="8" t="inlineStr">
        <is>
          <t>4.9 x 3.9</t>
        </is>
      </c>
      <c r="D10" s="24">
        <f>4.9*3.9</f>
        <v/>
      </c>
      <c r="E10" s="8" t="n">
        <v>1</v>
      </c>
      <c r="F10" s="24">
        <f>D10*E10</f>
        <v/>
      </c>
      <c r="G10" s="5" t="inlineStr">
        <is>
          <t>Capa TOP</t>
        </is>
      </c>
    </row>
    <row r="11" ht="20" customHeight="1">
      <c r="A11" s="5" t="inlineStr">
        <is>
          <t>Power Switch TPS2553</t>
        </is>
      </c>
      <c r="B11" s="8" t="inlineStr">
        <is>
          <t>SOT-23-6</t>
        </is>
      </c>
      <c r="C11" s="8" t="inlineStr">
        <is>
          <t>2.9 x 1.6</t>
        </is>
      </c>
      <c r="D11" s="24">
        <f>2.9*1.6</f>
        <v/>
      </c>
      <c r="E11" s="8" t="n">
        <v>1</v>
      </c>
      <c r="F11" s="24">
        <f>D11*E11</f>
        <v/>
      </c>
      <c r="G11" s="5" t="inlineStr">
        <is>
          <t>Capa TOP</t>
        </is>
      </c>
    </row>
    <row r="12" ht="20" customHeight="1">
      <c r="A12" s="5" t="inlineStr">
        <is>
          <t>Reguladores Buck/LDO</t>
        </is>
      </c>
      <c r="B12" s="8" t="inlineStr">
        <is>
          <t>VQFN-16/20</t>
        </is>
      </c>
      <c r="C12" s="8" t="inlineStr">
        <is>
          <t>3.5 x 3.5</t>
        </is>
      </c>
      <c r="D12" s="24">
        <f>3.5*3.5</f>
        <v/>
      </c>
      <c r="E12" s="8" t="n">
        <v>2</v>
      </c>
      <c r="F12" s="24">
        <f>D12*E12</f>
        <v/>
      </c>
      <c r="G12" s="5" t="inlineStr">
        <is>
          <t>Capa TOP</t>
        </is>
      </c>
    </row>
    <row r="13" ht="20" customHeight="1">
      <c r="A13" s="5" t="inlineStr">
        <is>
          <t>Oscilador MEMS SiT8008</t>
        </is>
      </c>
      <c r="B13" s="8" t="inlineStr">
        <is>
          <t>QFN-4</t>
        </is>
      </c>
      <c r="C13" s="8" t="inlineStr">
        <is>
          <t>2.5 x 2.0</t>
        </is>
      </c>
      <c r="D13" s="24">
        <f>2.5*2.0</f>
        <v/>
      </c>
      <c r="E13" s="8" t="n">
        <v>1</v>
      </c>
      <c r="F13" s="24">
        <f>D13*E13</f>
        <v/>
      </c>
      <c r="G13" s="5" t="inlineStr">
        <is>
          <t>Capa TOP</t>
        </is>
      </c>
    </row>
    <row r="14" ht="20" customHeight="1">
      <c r="A14" s="5" t="inlineStr">
        <is>
          <t>Conector Bus PC/104 (Header)</t>
        </is>
      </c>
      <c r="B14" s="8" t="inlineStr">
        <is>
          <t>Through-Hole</t>
        </is>
      </c>
      <c r="C14" s="8" t="inlineStr">
        <is>
          <t>90.0 x 5.0</t>
        </is>
      </c>
      <c r="D14" s="24">
        <f>90*5</f>
        <v/>
      </c>
      <c r="E14" s="8" t="n">
        <v>1</v>
      </c>
      <c r="F14" s="24">
        <f>D14*E14</f>
        <v/>
      </c>
      <c r="G14" s="5" t="inlineStr">
        <is>
          <t>Capa TOP (Pasa a BOT)</t>
        </is>
      </c>
    </row>
    <row r="15" ht="20" customHeight="1">
      <c r="A15" s="5" t="inlineStr">
        <is>
          <t>Conector Debug SWD</t>
        </is>
      </c>
      <c r="B15" s="8" t="inlineStr">
        <is>
          <t>Header 2x5</t>
        </is>
      </c>
      <c r="C15" s="8" t="inlineStr">
        <is>
          <t>6.35 x 3.2</t>
        </is>
      </c>
      <c r="D15" s="24">
        <f>6.35*3.2</f>
        <v/>
      </c>
      <c r="E15" s="8" t="n">
        <v>1</v>
      </c>
      <c r="F15" s="24">
        <f>D15*E15</f>
        <v/>
      </c>
      <c r="G15" s="5" t="inlineStr">
        <is>
          <t>Capa TOP</t>
        </is>
      </c>
    </row>
    <row r="16" ht="20" customHeight="1">
      <c r="A16" s="5" t="inlineStr">
        <is>
          <t>Componentes Pasivos 0402/0603</t>
        </is>
      </c>
      <c r="B16" s="8" t="inlineStr">
        <is>
          <t>0402 / 0603</t>
        </is>
      </c>
      <c r="C16" s="8" t="inlineStr">
        <is>
          <t>1.6 x 0.8</t>
        </is>
      </c>
      <c r="D16" s="24">
        <f>1.6*0.8</f>
        <v/>
      </c>
      <c r="E16" s="8" t="n">
        <v>52</v>
      </c>
      <c r="F16" s="24">
        <f>D16*E16</f>
        <v/>
      </c>
      <c r="G16" s="5" t="inlineStr">
        <is>
          <t>Capa BOTTOM (Mayoría)</t>
        </is>
      </c>
    </row>
    <row r="17">
      <c r="A17" s="17" t="inlineStr">
        <is>
          <t>ÁREA TOTAL DE COMPONENTES COMPONENTES</t>
        </is>
      </c>
      <c r="F17" s="25">
        <f>SUM(F6:F16)</f>
        <v/>
      </c>
    </row>
    <row r="19">
      <c r="A19" s="3" t="inlineStr">
        <is>
          <t>2. OCUPACIÓN DE SUPERFICIE DE LA PCB RIGIDA (90 x 96 mm)</t>
        </is>
      </c>
    </row>
    <row r="20">
      <c r="A20" s="26" t="inlineStr">
        <is>
          <t>Área Bruta PCB (Doble Cara TOP + BOT)</t>
        </is>
      </c>
      <c r="D20" s="27" t="n">
        <v>17280</v>
      </c>
    </row>
    <row r="21">
      <c r="A21" s="26" t="inlineStr">
        <is>
          <t>Porcentaje de Ocupación Real de Componentes</t>
        </is>
      </c>
      <c r="D21" s="36">
        <f>F17/D20</f>
        <v/>
      </c>
      <c r="F21" s="29" t="inlineStr">
        <is>
          <t>Excelente margen de enrutado (&gt; 90% libre)</t>
        </is>
      </c>
    </row>
    <row r="23">
      <c r="A23" s="3" t="inlineStr">
        <is>
          <t>3. SOBRE VOLUMÉTRICO VERTICAL EN CUBESAT 1U (EJE Z)</t>
        </is>
      </c>
    </row>
    <row r="24">
      <c r="A24" s="26" t="inlineStr">
        <is>
          <t>Grosor de la PCB FR4 (4 capas)</t>
        </is>
      </c>
      <c r="D24" s="30" t="n">
        <v>1.6</v>
      </c>
    </row>
    <row r="25">
      <c r="A25" s="26" t="inlineStr">
        <is>
          <t>Altura del Conector PC/104 Apilado</t>
        </is>
      </c>
      <c r="D25" s="30" t="n">
        <v>10</v>
      </c>
    </row>
    <row r="26">
      <c r="A26" s="26" t="inlineStr">
        <is>
          <t>Altura del Componente más Alto (Header SWD / LQFP)</t>
        </is>
      </c>
      <c r="D26" s="30" t="n">
        <v>3.5</v>
      </c>
    </row>
    <row r="27">
      <c r="A27" s="17" t="inlineStr">
        <is>
          <t>Consumo de Altura Vertical Total en Eje Z</t>
        </is>
      </c>
      <c r="D27" s="31">
        <f>D24+D25+D26</f>
        <v/>
      </c>
    </row>
    <row r="28">
      <c r="A28" s="26" t="inlineStr">
        <is>
          <t>Porcentaje de Altura de 1U Consumido (100 mm total)</t>
        </is>
      </c>
      <c r="D28" s="36">
        <f>D27/100</f>
        <v/>
      </c>
      <c r="F28" s="29" t="inlineStr">
        <is>
          <t>Ocupa solo el 15.1% del eje vertical Z</t>
        </is>
      </c>
    </row>
  </sheetData>
  <mergeCells count="5">
    <mergeCell ref="A1:G1"/>
    <mergeCell ref="A4:G4"/>
    <mergeCell ref="A2:G2"/>
    <mergeCell ref="A19:G19"/>
    <mergeCell ref="A23:G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36" customWidth="1" min="3" max="3"/>
    <col width="20" customWidth="1" min="4" max="4"/>
    <col width="25" customWidth="1" min="5" max="5"/>
    <col width="40" customWidth="1" min="6" max="6"/>
    <col width="52" customWidth="1" min="7" max="7"/>
  </cols>
  <sheetData>
    <row r="1">
      <c r="A1" s="37" t="inlineStr">
        <is>
          <t>Distribución por Etapas y Sectores - Subsistema OBC / C&amp;DH</t>
        </is>
      </c>
    </row>
    <row r="2">
      <c r="A2" s="38" t="inlineStr">
        <is>
          <t>Proyecto CubeSat UD34 1U - Mapeo de Componentes de Lista A y B por Bloque Funcional</t>
        </is>
      </c>
    </row>
    <row r="3"/>
    <row r="4">
      <c r="A4" s="39" t="inlineStr">
        <is>
          <t>Sector / Etapa Funcional</t>
        </is>
      </c>
      <c r="B4" s="39" t="inlineStr">
        <is>
          <t>Lista</t>
        </is>
      </c>
      <c r="C4" s="39" t="inlineStr">
        <is>
          <t>Función / Bloque</t>
        </is>
      </c>
      <c r="D4" s="39" t="inlineStr">
        <is>
          <t>Referencia COTS</t>
        </is>
      </c>
      <c r="E4" s="39" t="inlineStr">
        <is>
          <t>Fabricante</t>
        </is>
      </c>
      <c r="F4" s="39" t="inlineStr">
        <is>
          <t>Especificación Técnica / Interface</t>
        </is>
      </c>
      <c r="G4" s="39" t="inlineStr">
        <is>
          <t>Requisito / Justificación</t>
        </is>
      </c>
    </row>
    <row r="5">
      <c r="A5" s="40" t="inlineStr">
        <is>
          <t>1. Procesamiento Central (CPU Vuelo)</t>
        </is>
      </c>
      <c r="B5" s="41" t="inlineStr">
        <is>
          <t>Lista A</t>
        </is>
      </c>
      <c r="C5" s="42" t="inlineStr">
        <is>
          <t>Microcontrolador Principal (OBC)</t>
        </is>
      </c>
      <c r="D5" s="42" t="inlineStr">
        <is>
          <t>STM32H743VIT6</t>
        </is>
      </c>
      <c r="E5" s="42" t="inlineStr">
        <is>
          <t>STMicroelectronics</t>
        </is>
      </c>
      <c r="F5" s="42" t="inlineStr">
        <is>
          <t>ARM Cortex-M7 @ 480 MHz, 2MB Flash</t>
        </is>
      </c>
      <c r="G5" s="42" t="inlineStr">
        <is>
          <t>Ejecución RTOS FreeRTOS, EKF y FSW (RF-OBC-01)</t>
        </is>
      </c>
    </row>
    <row r="6">
      <c r="A6" s="43" t="inlineStr">
        <is>
          <t>1. Procesamiento Central (CPU Vuelo)</t>
        </is>
      </c>
      <c r="B6" s="44" t="inlineStr">
        <is>
          <t>Lista B</t>
        </is>
      </c>
      <c r="C6" s="45" t="inlineStr">
        <is>
          <t>Oscilador MEMS de Sistema</t>
        </is>
      </c>
      <c r="D6" s="45" t="inlineStr">
        <is>
          <t>SiT8008BI-12-33E</t>
        </is>
      </c>
      <c r="E6" s="45" t="inlineStr">
        <is>
          <t>SiTime</t>
        </is>
      </c>
      <c r="F6" s="45" t="inlineStr">
        <is>
          <t>24.0 MHz, Resistencia Shock</t>
        </is>
      </c>
      <c r="G6" s="45" t="inlineStr">
        <is>
          <t>Reloj principal de sistema para MCU STM32H7</t>
        </is>
      </c>
    </row>
    <row r="7">
      <c r="A7" s="40" t="inlineStr">
        <is>
          <t>2. Memorias e Inmunidad Radiación</t>
        </is>
      </c>
      <c r="B7" s="41" t="inlineStr">
        <is>
          <t>Lista A</t>
        </is>
      </c>
      <c r="C7" s="42" t="inlineStr">
        <is>
          <t>Memoria MRAM FSW (Inmune SEU)</t>
        </is>
      </c>
      <c r="D7" s="42" t="inlineStr">
        <is>
          <t>MR25H40MDF</t>
        </is>
      </c>
      <c r="E7" s="42" t="inlineStr">
        <is>
          <t>Everspin Technologies</t>
        </is>
      </c>
      <c r="F7" s="42" t="inlineStr">
        <is>
          <t>4 Mbit MRAM SPI, Retención magnética</t>
        </is>
      </c>
      <c r="G7" s="42" t="inlineStr">
        <is>
          <t>Almacenamiento FSW e imágenes de boot (RNF-OBC-02)</t>
        </is>
      </c>
    </row>
    <row r="8">
      <c r="A8" s="43" t="inlineStr">
        <is>
          <t>2. Memorias e Inmunidad Radiación</t>
        </is>
      </c>
      <c r="B8" s="44" t="inlineStr">
        <is>
          <t>Lista A</t>
        </is>
      </c>
      <c r="C8" s="45" t="inlineStr">
        <is>
          <t>Reloj Tiempo Real (RTC OBT)</t>
        </is>
      </c>
      <c r="D8" s="45" t="inlineStr">
        <is>
          <t>RV-8803-C7</t>
        </is>
      </c>
      <c r="E8" s="45" t="inlineStr">
        <is>
          <t>Micro Crystal</t>
        </is>
      </c>
      <c r="F8" s="45" t="inlineStr">
        <is>
          <t>TCXO I2C (240 nA IQ)</t>
        </is>
      </c>
      <c r="G8" s="45" t="inlineStr">
        <is>
          <t>Marcas de tiempo OBT en fotografías (RF-OBC-02)</t>
        </is>
      </c>
    </row>
    <row r="9">
      <c r="A9" s="40" t="inlineStr">
        <is>
          <t>3. Supervisión y Mitigación Hardware</t>
        </is>
      </c>
      <c r="B9" s="41" t="inlineStr">
        <is>
          <t>Lista B</t>
        </is>
      </c>
      <c r="C9" s="42" t="inlineStr">
        <is>
          <t>Supervisor Watchdog Hardware</t>
        </is>
      </c>
      <c r="D9" s="42" t="inlineStr">
        <is>
          <t>TPS3823-33DBVR</t>
        </is>
      </c>
      <c r="E9" s="42" t="inlineStr">
        <is>
          <t>Texas Instruments</t>
        </is>
      </c>
      <c r="F9" s="42" t="inlineStr">
        <is>
          <t>Reset frío 1.6 s, SOT-23-5</t>
        </is>
      </c>
      <c r="G9" s="42" t="inlineStr">
        <is>
          <t>Recuperación de congelamiento SEFI por radiación</t>
        </is>
      </c>
    </row>
    <row r="10">
      <c r="A10" s="43" t="inlineStr">
        <is>
          <t>3. Supervisión y Mitigación Hardware</t>
        </is>
      </c>
      <c r="B10" s="44" t="inlineStr">
        <is>
          <t>Lista B</t>
        </is>
      </c>
      <c r="C10" s="45" t="inlineStr">
        <is>
          <t>Limitador LCL Sobrecorriente</t>
        </is>
      </c>
      <c r="D10" s="45" t="inlineStr">
        <is>
          <t>TPS2553DBVR</t>
        </is>
      </c>
      <c r="E10" s="45" t="inlineStr">
        <is>
          <t>Texas Instruments</t>
        </is>
      </c>
      <c r="F10" s="45" t="inlineStr">
        <is>
          <t>LCL ajustable 0.1-1.5A</t>
        </is>
      </c>
      <c r="G10" s="45" t="inlineStr">
        <is>
          <t>Protección SEL en alimentación 3.3V de la MCU</t>
        </is>
      </c>
    </row>
    <row r="11">
      <c r="A11" s="40" t="inlineStr">
        <is>
          <t>4. Red Espacial e Interfaces</t>
        </is>
      </c>
      <c r="B11" s="41" t="inlineStr">
        <is>
          <t>Lista A/B</t>
        </is>
      </c>
      <c r="C11" s="42" t="inlineStr">
        <is>
          <t>Transceptor CAN Bus (Red CSP)</t>
        </is>
      </c>
      <c r="D11" s="42" t="inlineStr">
        <is>
          <t>TCAN330GDCNR</t>
        </is>
      </c>
      <c r="E11" s="42" t="inlineStr">
        <is>
          <t>Texas Instruments</t>
        </is>
      </c>
      <c r="F11" s="42" t="inlineStr">
        <is>
          <t>Capa física CAN 2.0B 3.3V, 500 kbps</t>
        </is>
      </c>
      <c r="G11" s="42" t="inlineStr">
        <is>
          <t>Bus de datos inter-subsistema bajo protocolo CSP</t>
        </is>
      </c>
    </row>
    <row r="12">
      <c r="A12" s="43" t="inlineStr">
        <is>
          <t>4. Red Espacial e Interfaces</t>
        </is>
      </c>
      <c r="B12" s="44" t="inlineStr">
        <is>
          <t>Lista B</t>
        </is>
      </c>
      <c r="C12" s="45" t="inlineStr">
        <is>
          <t>Buffers Tri-State de Bus</t>
        </is>
      </c>
      <c r="D12" s="45" t="inlineStr">
        <is>
          <t>SN74LVC125A</t>
        </is>
      </c>
      <c r="E12" s="45" t="inlineStr">
        <is>
          <t>Texas Instruments</t>
        </is>
      </c>
      <c r="F12" s="45" t="inlineStr">
        <is>
          <t>4-Canales Buffer Bus 3.3V</t>
        </is>
      </c>
      <c r="G12" s="45" t="inlineStr">
        <is>
          <t>Aislamiento de buses SPI/I2C compartidos</t>
        </is>
      </c>
    </row>
    <row r="13">
      <c r="A13" s="40" t="inlineStr">
        <is>
          <t>4. Red Espacial e Interfaces</t>
        </is>
      </c>
      <c r="B13" s="41" t="inlineStr">
        <is>
          <t>Lista B</t>
        </is>
      </c>
      <c r="C13" s="42" t="inlineStr">
        <is>
          <t>Arreglos Protección ESD</t>
        </is>
      </c>
      <c r="D13" s="42" t="inlineStr">
        <is>
          <t>TPD4E001DRYR</t>
        </is>
      </c>
      <c r="E13" s="42" t="inlineStr">
        <is>
          <t>Texas Instruments</t>
        </is>
      </c>
      <c r="F13" s="42" t="inlineStr">
        <is>
          <t>4-Canales ESD, SON-6</t>
        </is>
      </c>
      <c r="G13" s="42" t="inlineStr">
        <is>
          <t>Protección ESD en líneas JTAG/SWD y 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2026-09-29T01:52:53Z</dcterms:created>
  <dcterms:modified xmlns:dcterms="http://purl.org/dc/terms/" xmlns:xsi="http://www.w3.org/2001/XMLSchema-instance" xsi:type="dcterms:W3CDTF">2026-10-05T20:35:59Z</dcterms:modified>
</cp:coreProperties>
</file>